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Movimientos Bancarios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'Movimientos Bancarios'!$A$1:$K$701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mmm/dd/yy;@"/>
    <numFmt numFmtId="166" formatCode="mmm/dd/yyyy;@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Arial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164" fontId="3" fillId="0" borderId="0" pivotButton="0" quotePrefix="0" xfId="0"/>
    <xf numFmtId="164" fontId="3" fillId="0" borderId="0" applyAlignment="1" pivotButton="0" quotePrefix="0" xfId="1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top" wrapText="1"/>
    </xf>
    <xf numFmtId="164" fontId="7" fillId="0" borderId="0" applyAlignment="1" pivotButton="0" quotePrefix="0" xfId="0">
      <alignment horizontal="right" vertical="center" wrapText="1" indent="1"/>
    </xf>
    <xf numFmtId="164" fontId="7" fillId="0" borderId="0" applyAlignment="1" pivotButton="0" quotePrefix="0" xfId="0">
      <alignment horizontal="left" vertical="top" wrapText="1"/>
    </xf>
    <xf numFmtId="4" fontId="7" fillId="0" borderId="0" applyAlignment="1" pivotButton="0" quotePrefix="0" xfId="0">
      <alignment horizontal="right" vertical="center" wrapText="1" indent="1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8" defaultColWidth="9.1796875" defaultRowHeight="14.5"/>
  <cols>
    <col width="8" customWidth="1" style="6" min="1" max="1"/>
    <col width="10" customWidth="1" style="7" min="2" max="2"/>
    <col width="10.453125" bestFit="1" customWidth="1" style="7" min="3" max="3"/>
    <col width="16.7265625" bestFit="1" customWidth="1" style="8" min="4" max="4"/>
    <col width="16" customWidth="1" style="7" min="5" max="5"/>
    <col width="74.7265625" bestFit="1" customWidth="1" style="6" min="6" max="6"/>
    <col width="14" customWidth="1" style="9" min="7" max="7"/>
    <col width="12" customWidth="1" style="10" min="8" max="8"/>
    <col width="10" customWidth="1" style="6" min="9" max="9"/>
    <col width="26" customWidth="1" style="6" min="10" max="10"/>
    <col width="42" customWidth="1" style="6" min="11" max="11"/>
    <col width="9.1796875" customWidth="1" style="6" min="12" max="12"/>
    <col width="9.1796875" customWidth="1" style="6" min="13" max="16384"/>
  </cols>
  <sheetData>
    <row r="1">
      <c r="A1" s="1" t="inlineStr">
        <is>
          <t>Numero</t>
        </is>
      </c>
      <c r="B1" s="4" t="inlineStr">
        <is>
          <t>Mes</t>
        </is>
      </c>
      <c r="C1" s="4" t="inlineStr">
        <is>
          <t>Banco</t>
        </is>
      </c>
      <c r="D1" s="5" t="inlineStr">
        <is>
          <t>Fecha</t>
        </is>
      </c>
      <c r="E1" s="4" t="inlineStr">
        <is>
          <t>N° Referencia</t>
        </is>
      </c>
      <c r="F1" s="1" t="inlineStr">
        <is>
          <t>Concepto / Descripción</t>
        </is>
      </c>
      <c r="G1" s="3" t="inlineStr">
        <is>
          <t>Monto Bs</t>
        </is>
      </c>
      <c r="H1" s="2" t="inlineStr">
        <is>
          <t>Monto USD</t>
        </is>
      </c>
      <c r="I1" s="1" t="inlineStr">
        <is>
          <t>Categoría</t>
        </is>
      </c>
      <c r="J1" s="1" t="inlineStr">
        <is>
          <t>N° Factura o N° Orden de Entrega extraído ⭐</t>
        </is>
      </c>
      <c r="K1" s="1" t="inlineStr">
        <is>
          <t>Cuenta Sugerida (Plan de Cuentas)</t>
        </is>
      </c>
    </row>
    <row r="2">
      <c r="A2" s="6" t="n">
        <v>1</v>
      </c>
      <c r="B2" t="inlineStr">
        <is>
          <t>Abril</t>
        </is>
      </c>
      <c r="C2" s="6" t="inlineStr">
        <is>
          <t>BCV</t>
        </is>
      </c>
      <c r="D2" s="15" t="n">
        <v>46113</v>
      </c>
      <c r="E2" s="16" t="inlineStr">
        <is>
          <t>00198996</t>
        </is>
      </c>
      <c r="F2" s="18" t="inlineStr">
        <is>
          <t>DISTRIBUIDORA UMBRELLA FACT 001117</t>
        </is>
      </c>
      <c r="G2" s="21" t="inlineStr">
        <is>
          <t>27.379,54</t>
        </is>
      </c>
      <c r="J2" t="inlineStr">
        <is>
          <t>1117</t>
        </is>
      </c>
      <c r="K2" t="inlineStr">
        <is>
          <t>8.2 — Pago de cuentas por pagar</t>
        </is>
      </c>
    </row>
    <row r="3">
      <c r="A3" s="6">
        <f>A2+1</f>
        <v/>
      </c>
      <c r="B3" t="inlineStr">
        <is>
          <t>Abril</t>
        </is>
      </c>
      <c r="C3" s="6" t="inlineStr">
        <is>
          <t>BCV</t>
        </is>
      </c>
      <c r="D3" s="15" t="n">
        <v>46113</v>
      </c>
      <c r="E3" s="16" t="inlineStr">
        <is>
          <t>00200778</t>
        </is>
      </c>
      <c r="F3" s="18" t="inlineStr">
        <is>
          <t>EUROLIMPIEZA FACT 3615</t>
        </is>
      </c>
      <c r="G3" s="21" t="inlineStr">
        <is>
          <t>15.439,02</t>
        </is>
      </c>
      <c r="J3" t="inlineStr">
        <is>
          <t>3615</t>
        </is>
      </c>
      <c r="K3" s="12" t="inlineStr">
        <is>
          <t>8.2 — Pago de cuentas por pagar</t>
        </is>
      </c>
    </row>
    <row r="4">
      <c r="A4" s="6">
        <f>A3+1</f>
        <v/>
      </c>
      <c r="B4" t="inlineStr">
        <is>
          <t>Abril</t>
        </is>
      </c>
      <c r="C4" s="6" t="inlineStr">
        <is>
          <t>BCV</t>
        </is>
      </c>
      <c r="D4" s="15" t="n">
        <v>46113</v>
      </c>
      <c r="E4" s="16" t="inlineStr">
        <is>
          <t>00202066</t>
        </is>
      </c>
      <c r="F4" s="18" t="inlineStr">
        <is>
          <t>JUAN C DIAZ FACT 6704</t>
        </is>
      </c>
      <c r="G4" s="21" t="inlineStr">
        <is>
          <t>5.513,93</t>
        </is>
      </c>
      <c r="J4" t="inlineStr">
        <is>
          <t>6704</t>
        </is>
      </c>
      <c r="K4" s="12" t="inlineStr">
        <is>
          <t>8.2 — Pago de cuentas por pagar</t>
        </is>
      </c>
    </row>
    <row r="5">
      <c r="A5" s="6">
        <f>A4+1</f>
        <v/>
      </c>
      <c r="B5" t="inlineStr">
        <is>
          <t>Abril</t>
        </is>
      </c>
      <c r="C5" s="6" t="inlineStr">
        <is>
          <t>BCV</t>
        </is>
      </c>
      <c r="D5" s="15" t="n">
        <v>46113</v>
      </c>
      <c r="E5" s="16" t="inlineStr">
        <is>
          <t>00203024</t>
        </is>
      </c>
      <c r="F5" s="18" t="inlineStr">
        <is>
          <t>GLADYS MONTANEGRO REDOBLES</t>
        </is>
      </c>
      <c r="G5" s="21" t="inlineStr">
        <is>
          <t>5.777,28</t>
        </is>
      </c>
      <c r="J5" t="inlineStr"/>
      <c r="K5" s="12" t="inlineStr">
        <is>
          <t>3.13 — Aseo</t>
        </is>
      </c>
    </row>
    <row r="6">
      <c r="A6" s="6">
        <f>A5+1</f>
        <v/>
      </c>
      <c r="B6" t="inlineStr">
        <is>
          <t>Abril</t>
        </is>
      </c>
      <c r="C6" s="6" t="inlineStr">
        <is>
          <t>BCV</t>
        </is>
      </c>
      <c r="D6" s="15" t="n">
        <v>46113</v>
      </c>
      <c r="E6" s="16" t="inlineStr">
        <is>
          <t>00203032</t>
        </is>
      </c>
      <c r="F6" s="18" t="inlineStr">
        <is>
          <t>BELSI PEREZ REDOBLES</t>
        </is>
      </c>
      <c r="G6" s="21" t="inlineStr">
        <is>
          <t>3.009,00</t>
        </is>
      </c>
      <c r="J6" t="inlineStr"/>
      <c r="K6" s="12" t="inlineStr">
        <is>
          <t>8.1 — Bono 10% y Propinas por pagar al personal</t>
        </is>
      </c>
    </row>
    <row r="7">
      <c r="A7" s="6">
        <f>A6+1</f>
        <v/>
      </c>
      <c r="B7" t="inlineStr">
        <is>
          <t>Abril</t>
        </is>
      </c>
      <c r="C7" s="6" t="inlineStr">
        <is>
          <t>BCV</t>
        </is>
      </c>
      <c r="D7" s="15" t="n">
        <v>46113</v>
      </c>
      <c r="E7" s="17" t="n">
        <v>384093</v>
      </c>
      <c r="F7" s="18" t="inlineStr">
        <is>
          <t>INVERSIONES LUVEBRAS F595</t>
        </is>
      </c>
      <c r="G7" s="22" t="n">
        <v>8500</v>
      </c>
      <c r="J7" t="inlineStr">
        <is>
          <t>595</t>
        </is>
      </c>
      <c r="K7" s="12" t="inlineStr">
        <is>
          <t>8.2 — Pago de cuentas por pagar</t>
        </is>
      </c>
    </row>
    <row r="8">
      <c r="A8" s="6">
        <f>A7+1</f>
        <v/>
      </c>
      <c r="B8" t="inlineStr">
        <is>
          <t>Abril</t>
        </is>
      </c>
      <c r="C8" s="6" t="inlineStr">
        <is>
          <t>BCV</t>
        </is>
      </c>
      <c r="D8" s="15" t="n">
        <v>46114</v>
      </c>
      <c r="E8" s="16" t="inlineStr">
        <is>
          <t>00373816</t>
        </is>
      </c>
      <c r="F8" s="18" t="inlineStr">
        <is>
          <t>MARIA DIAZ ACCESD IPHONE</t>
        </is>
      </c>
      <c r="G8" s="21" t="inlineStr">
        <is>
          <t>9.052,08</t>
        </is>
      </c>
      <c r="J8" t="inlineStr"/>
      <c r="K8" s="12" t="inlineStr">
        <is>
          <t>4.1 — Gastos oficina</t>
        </is>
      </c>
    </row>
    <row r="9">
      <c r="A9" s="6">
        <f>A8+1</f>
        <v/>
      </c>
      <c r="B9" t="inlineStr">
        <is>
          <t>Abril</t>
        </is>
      </c>
      <c r="C9" s="6" t="inlineStr">
        <is>
          <t>BCV</t>
        </is>
      </c>
      <c r="D9" s="15" t="n">
        <v>46114</v>
      </c>
      <c r="E9" s="17" t="n">
        <v>434081</v>
      </c>
      <c r="F9" s="18" t="inlineStr">
        <is>
          <t>ORLANDO CASTRO REV LAPTOP</t>
        </is>
      </c>
      <c r="G9" s="22" t="n">
        <v>2500</v>
      </c>
      <c r="J9" t="inlineStr"/>
      <c r="K9" s="12" t="inlineStr">
        <is>
          <t>4.10 — Mantenimiento</t>
        </is>
      </c>
    </row>
    <row r="10">
      <c r="A10" s="6">
        <f>A9+1</f>
        <v/>
      </c>
      <c r="B10" t="inlineStr">
        <is>
          <t>Abril</t>
        </is>
      </c>
      <c r="C10" s="6" t="inlineStr">
        <is>
          <t>BCV</t>
        </is>
      </c>
      <c r="D10" s="15" t="n">
        <v>46118</v>
      </c>
      <c r="E10" s="16" t="inlineStr">
        <is>
          <t>00927943</t>
        </is>
      </c>
      <c r="F10" s="18" t="inlineStr">
        <is>
          <t>NET UNO FACT 15031135</t>
        </is>
      </c>
      <c r="G10" s="21" t="inlineStr">
        <is>
          <t>58.481,81</t>
        </is>
      </c>
      <c r="J10" t="inlineStr">
        <is>
          <t>15031135</t>
        </is>
      </c>
      <c r="K10" s="12" t="inlineStr">
        <is>
          <t>3.15 — Internet</t>
        </is>
      </c>
    </row>
    <row r="11">
      <c r="A11" s="6">
        <f>A10+1</f>
        <v/>
      </c>
      <c r="B11" t="inlineStr">
        <is>
          <t>Abril</t>
        </is>
      </c>
      <c r="C11" s="6" t="inlineStr">
        <is>
          <t>BCV</t>
        </is>
      </c>
      <c r="D11" s="15" t="n">
        <v>46118</v>
      </c>
      <c r="E11" s="16" t="inlineStr">
        <is>
          <t>00927945</t>
        </is>
      </c>
      <c r="F11" s="18" t="inlineStr">
        <is>
          <t>CORPORACION XETUX RECURRENCIA ABRIL26</t>
        </is>
      </c>
      <c r="G11" s="21" t="inlineStr">
        <is>
          <t>57.057,84</t>
        </is>
      </c>
      <c r="J11" t="inlineStr"/>
      <c r="K11" s="12" t="inlineStr">
        <is>
          <t>3.17 — Software</t>
        </is>
      </c>
    </row>
    <row r="12">
      <c r="A12" s="6">
        <f>A11+1</f>
        <v/>
      </c>
      <c r="B12" t="inlineStr">
        <is>
          <t>Abril</t>
        </is>
      </c>
      <c r="C12" s="6" t="inlineStr">
        <is>
          <t>BCV</t>
        </is>
      </c>
      <c r="D12" s="15" t="n">
        <v>46119</v>
      </c>
      <c r="E12" s="16" t="inlineStr">
        <is>
          <t>00197302</t>
        </is>
      </c>
      <c r="F12" s="18" t="inlineStr">
        <is>
          <t>EDAAS SHOP INVERSIONES FACT 19944</t>
        </is>
      </c>
      <c r="G12" s="21" t="inlineStr">
        <is>
          <t>14.611,89</t>
        </is>
      </c>
      <c r="J12" t="inlineStr">
        <is>
          <t>19944</t>
        </is>
      </c>
      <c r="K12" s="12" t="inlineStr">
        <is>
          <t>2.1 — Compras de mercancía</t>
        </is>
      </c>
    </row>
    <row r="13">
      <c r="A13" s="6">
        <f>A12+1</f>
        <v/>
      </c>
      <c r="B13" t="inlineStr">
        <is>
          <t>Abril</t>
        </is>
      </c>
      <c r="C13" s="6" t="inlineStr">
        <is>
          <t>BCV</t>
        </is>
      </c>
      <c r="D13" s="15" t="n">
        <v>46120</v>
      </c>
      <c r="E13" s="16" t="inlineStr">
        <is>
          <t>00290293</t>
        </is>
      </c>
      <c r="F13" s="18" t="inlineStr">
        <is>
          <t>JOSE L MONTEROLA FACT 1151</t>
        </is>
      </c>
      <c r="G13" s="21" t="inlineStr">
        <is>
          <t>151.131,48</t>
        </is>
      </c>
      <c r="J13" t="inlineStr">
        <is>
          <t>1151</t>
        </is>
      </c>
      <c r="K13" s="12" t="inlineStr">
        <is>
          <t>3.5 — Transporte de Personal</t>
        </is>
      </c>
    </row>
    <row r="14">
      <c r="A14" s="6">
        <f>A13+1</f>
        <v/>
      </c>
      <c r="B14" t="inlineStr">
        <is>
          <t>Abril</t>
        </is>
      </c>
      <c r="C14" s="6" t="inlineStr">
        <is>
          <t>BCV</t>
        </is>
      </c>
      <c r="D14" s="15" t="n">
        <v>46120</v>
      </c>
      <c r="E14" s="16" t="inlineStr">
        <is>
          <t>00356796</t>
        </is>
      </c>
      <c r="F14" s="18" t="inlineStr">
        <is>
          <t>INVERSIONES LUVEBRAS FACT 75083</t>
        </is>
      </c>
      <c r="G14" s="21" t="inlineStr">
        <is>
          <t>1.587,27</t>
        </is>
      </c>
      <c r="J14" t="inlineStr">
        <is>
          <t>75083</t>
        </is>
      </c>
      <c r="K14" s="12" t="inlineStr">
        <is>
          <t>8.2 — Pago de cuentas por pagar</t>
        </is>
      </c>
    </row>
    <row r="15">
      <c r="A15" s="6">
        <f>A14+1</f>
        <v/>
      </c>
      <c r="B15" t="inlineStr">
        <is>
          <t>Abril</t>
        </is>
      </c>
      <c r="C15" s="6" t="inlineStr">
        <is>
          <t>BCV</t>
        </is>
      </c>
      <c r="D15" s="15" t="n">
        <v>46120</v>
      </c>
      <c r="E15" s="16" t="inlineStr">
        <is>
          <t>00377981</t>
        </is>
      </c>
      <c r="F15" s="18" t="inlineStr">
        <is>
          <t>YOFRAN SABINO DELIVERYS</t>
        </is>
      </c>
      <c r="G15" s="21" t="inlineStr">
        <is>
          <t>3.009,00</t>
        </is>
      </c>
      <c r="J15" t="inlineStr"/>
      <c r="K15" s="12" t="inlineStr">
        <is>
          <t>4.7 — Deliveries Insumos</t>
        </is>
      </c>
    </row>
    <row r="16">
      <c r="A16" s="6">
        <f>A15+1</f>
        <v/>
      </c>
      <c r="B16" t="inlineStr">
        <is>
          <t>Abril</t>
        </is>
      </c>
      <c r="C16" s="6" t="inlineStr">
        <is>
          <t>BCV</t>
        </is>
      </c>
      <c r="D16" s="15" t="n">
        <v>46120</v>
      </c>
      <c r="E16" s="16" t="inlineStr">
        <is>
          <t>00377987</t>
        </is>
      </c>
      <c r="F16" s="18" t="inlineStr">
        <is>
          <t>MAYKOL LOPEZ DELIVERYS</t>
        </is>
      </c>
      <c r="G16" s="21" t="inlineStr">
        <is>
          <t>16.549,50</t>
        </is>
      </c>
      <c r="J16" t="inlineStr"/>
      <c r="K16" s="12" t="inlineStr">
        <is>
          <t>4.7 — Deliveries Insumos</t>
        </is>
      </c>
    </row>
    <row r="17">
      <c r="A17" s="6">
        <f>A16+1</f>
        <v/>
      </c>
      <c r="B17" t="inlineStr">
        <is>
          <t>Abril</t>
        </is>
      </c>
      <c r="C17" s="6" t="inlineStr">
        <is>
          <t>BCV</t>
        </is>
      </c>
      <c r="D17" s="15" t="n">
        <v>46120</v>
      </c>
      <c r="E17" s="16" t="inlineStr">
        <is>
          <t>00402862</t>
        </is>
      </c>
      <c r="F17" s="18" t="inlineStr">
        <is>
          <t>EGUI CASTELLANOS PMTO</t>
        </is>
      </c>
      <c r="G17" s="21" t="inlineStr">
        <is>
          <t>5.015,00</t>
        </is>
      </c>
      <c r="J17" t="inlineStr"/>
      <c r="K17" t="inlineStr">
        <is>
          <t>9.3 — Anticipos de nómina</t>
        </is>
      </c>
    </row>
    <row r="18">
      <c r="A18" s="6">
        <f>A17+1</f>
        <v/>
      </c>
      <c r="B18" t="inlineStr">
        <is>
          <t>Abril</t>
        </is>
      </c>
      <c r="C18" s="6" t="inlineStr">
        <is>
          <t>BCV</t>
        </is>
      </c>
      <c r="D18" s="15" t="n">
        <v>46121</v>
      </c>
      <c r="E18" s="16" t="inlineStr">
        <is>
          <t>00481375</t>
        </is>
      </c>
      <c r="F18" s="18" t="inlineStr">
        <is>
          <t>SISTEMAS Y REDES CLW V2600059</t>
        </is>
      </c>
      <c r="G18" s="21" t="inlineStr">
        <is>
          <t>217.693,54</t>
        </is>
      </c>
      <c r="J18" t="inlineStr"/>
      <c r="K18" s="12" t="inlineStr">
        <is>
          <t>5.6 — Compra activo fijo (CapEx)</t>
        </is>
      </c>
    </row>
    <row r="19">
      <c r="A19" s="6">
        <f>A18+1</f>
        <v/>
      </c>
      <c r="B19" t="inlineStr">
        <is>
          <t>Abril</t>
        </is>
      </c>
      <c r="C19" s="6" t="inlineStr">
        <is>
          <t>BCV</t>
        </is>
      </c>
      <c r="D19" s="15" t="n">
        <v>46121</v>
      </c>
      <c r="E19" s="16" t="inlineStr">
        <is>
          <t>00493545</t>
        </is>
      </c>
      <c r="F19" s="18" t="inlineStr">
        <is>
          <t>CONDOMINIO C C SEBUCAN MARZO26</t>
        </is>
      </c>
      <c r="G19" s="21" t="inlineStr">
        <is>
          <t>237.977,01</t>
        </is>
      </c>
      <c r="J19" t="inlineStr"/>
      <c r="K19" s="12" t="inlineStr">
        <is>
          <t>4.4 — Condominio</t>
        </is>
      </c>
    </row>
    <row r="20">
      <c r="A20" s="6">
        <f>A19+1</f>
        <v/>
      </c>
      <c r="B20" t="inlineStr">
        <is>
          <t>Abril</t>
        </is>
      </c>
      <c r="C20" s="6" t="inlineStr">
        <is>
          <t>BCV</t>
        </is>
      </c>
      <c r="D20" s="15" t="n">
        <v>46121</v>
      </c>
      <c r="E20" s="16" t="inlineStr">
        <is>
          <t>00498662</t>
        </is>
      </c>
      <c r="F20" s="18" t="inlineStr">
        <is>
          <t>MUNDO PAPEL COT 266976</t>
        </is>
      </c>
      <c r="G20" s="21" t="inlineStr">
        <is>
          <t>44.258,77</t>
        </is>
      </c>
      <c r="J20" t="inlineStr">
        <is>
          <t>266976</t>
        </is>
      </c>
      <c r="K20" t="inlineStr">
        <is>
          <t>4.1 — Gastos oficina</t>
        </is>
      </c>
    </row>
    <row r="21">
      <c r="A21" s="6">
        <f>A20+1</f>
        <v/>
      </c>
      <c r="B21" t="inlineStr">
        <is>
          <t>Abril</t>
        </is>
      </c>
      <c r="C21" s="6" t="inlineStr">
        <is>
          <t>BCV</t>
        </is>
      </c>
      <c r="D21" s="15" t="n">
        <v>46121</v>
      </c>
      <c r="E21" s="16" t="inlineStr">
        <is>
          <t>00504798</t>
        </is>
      </c>
      <c r="F21" s="18" t="inlineStr">
        <is>
          <t>INVERSIONES FS 2018 FACT 449</t>
        </is>
      </c>
      <c r="G21" s="21" t="inlineStr">
        <is>
          <t>111.398,06</t>
        </is>
      </c>
      <c r="J21" t="inlineStr">
        <is>
          <t>449</t>
        </is>
      </c>
      <c r="K21" s="12" t="inlineStr">
        <is>
          <t>2.1 — Compras de mercancía</t>
        </is>
      </c>
    </row>
    <row r="22">
      <c r="A22" s="6">
        <f>A21+1</f>
        <v/>
      </c>
      <c r="B22" t="inlineStr">
        <is>
          <t>Abril</t>
        </is>
      </c>
      <c r="C22" s="6" t="inlineStr">
        <is>
          <t>BCV</t>
        </is>
      </c>
      <c r="D22" s="15" t="n">
        <v>46121</v>
      </c>
      <c r="E22" s="16" t="inlineStr">
        <is>
          <t>00504803</t>
        </is>
      </c>
      <c r="F22" s="18" t="inlineStr">
        <is>
          <t>MARKET CCS 25 FACT 609</t>
        </is>
      </c>
      <c r="G22" s="21" t="inlineStr">
        <is>
          <t>46.292,14</t>
        </is>
      </c>
      <c r="J22" t="inlineStr">
        <is>
          <t>609</t>
        </is>
      </c>
      <c r="K22" s="12" t="inlineStr">
        <is>
          <t>8.2 — Pago de cuentas por pagar</t>
        </is>
      </c>
    </row>
    <row r="23">
      <c r="A23" s="6">
        <f>A22+1</f>
        <v/>
      </c>
      <c r="B23" t="inlineStr">
        <is>
          <t>Abril</t>
        </is>
      </c>
      <c r="C23" s="6" t="inlineStr">
        <is>
          <t>BCV</t>
        </is>
      </c>
      <c r="D23" s="15" t="n">
        <v>46121</v>
      </c>
      <c r="E23" s="16" t="inlineStr">
        <is>
          <t>00504810</t>
        </is>
      </c>
      <c r="F23" s="18" t="inlineStr">
        <is>
          <t>DISTRIBUIDORA UMBRELLA FACT 1117</t>
        </is>
      </c>
      <c r="G23" s="21" t="inlineStr">
        <is>
          <t>27.497,45</t>
        </is>
      </c>
      <c r="J23" t="inlineStr">
        <is>
          <t>1117</t>
        </is>
      </c>
      <c r="K23" t="inlineStr">
        <is>
          <t>8.2 — Pago de cuentas por pagar</t>
        </is>
      </c>
    </row>
    <row r="24">
      <c r="A24" s="6">
        <f>A23+1</f>
        <v/>
      </c>
      <c r="B24" t="inlineStr">
        <is>
          <t>Abril</t>
        </is>
      </c>
      <c r="C24" s="6" t="inlineStr">
        <is>
          <t>BCV</t>
        </is>
      </c>
      <c r="D24" s="15" t="n">
        <v>46121</v>
      </c>
      <c r="E24" s="16" t="inlineStr">
        <is>
          <t>00504813</t>
        </is>
      </c>
      <c r="F24" s="18" t="inlineStr">
        <is>
          <t>MERCA MAYOR FACT 3039</t>
        </is>
      </c>
      <c r="G24" s="21" t="inlineStr">
        <is>
          <t>93.806,39</t>
        </is>
      </c>
      <c r="J24" t="inlineStr">
        <is>
          <t>3039</t>
        </is>
      </c>
      <c r="K24" t="inlineStr">
        <is>
          <t>8.2 — Pago de cuentas por pagar</t>
        </is>
      </c>
    </row>
    <row r="25">
      <c r="A25" s="6">
        <f>A24+1</f>
        <v/>
      </c>
      <c r="B25" t="inlineStr">
        <is>
          <t>Abril</t>
        </is>
      </c>
      <c r="C25" s="6" t="inlineStr">
        <is>
          <t>BCV</t>
        </is>
      </c>
      <c r="D25" s="15" t="n">
        <v>46121</v>
      </c>
      <c r="E25" s="16" t="inlineStr">
        <is>
          <t>00504814</t>
        </is>
      </c>
      <c r="F25" s="18" t="inlineStr">
        <is>
          <t>TECNOLOGIA AGRICOLA SARTENEJAS F 2584</t>
        </is>
      </c>
      <c r="G25" s="21" t="inlineStr">
        <is>
          <t>27.927,09</t>
        </is>
      </c>
      <c r="J25" t="inlineStr">
        <is>
          <t>2584</t>
        </is>
      </c>
      <c r="K25" t="inlineStr">
        <is>
          <t>2.1 — Compras de mercancía</t>
        </is>
      </c>
    </row>
    <row r="26">
      <c r="A26" s="6">
        <f>A25+1</f>
        <v/>
      </c>
      <c r="B26" t="inlineStr">
        <is>
          <t>Abril</t>
        </is>
      </c>
      <c r="C26" s="6" t="inlineStr">
        <is>
          <t>BCV</t>
        </is>
      </c>
      <c r="D26" s="15" t="n">
        <v>46121</v>
      </c>
      <c r="E26" s="16" t="inlineStr">
        <is>
          <t>00552131</t>
        </is>
      </c>
      <c r="F26" s="18" t="inlineStr">
        <is>
          <t>PIDELO 58 SEM 30 3 AL 5 4 26</t>
        </is>
      </c>
      <c r="G26" s="21" t="inlineStr">
        <is>
          <t>1.674,57</t>
        </is>
      </c>
      <c r="J26" t="inlineStr"/>
      <c r="K26" s="12" t="inlineStr">
        <is>
          <t>3.5 — Transporte de Personal</t>
        </is>
      </c>
    </row>
    <row r="27">
      <c r="A27" s="6">
        <f>A26+1</f>
        <v/>
      </c>
      <c r="B27" t="inlineStr">
        <is>
          <t>Abril</t>
        </is>
      </c>
      <c r="C27" s="6" t="inlineStr">
        <is>
          <t>BCV</t>
        </is>
      </c>
      <c r="D27" s="15" t="n">
        <v>46121</v>
      </c>
      <c r="E27" s="16" t="inlineStr">
        <is>
          <t>00552965</t>
        </is>
      </c>
      <c r="F27" s="18" t="inlineStr">
        <is>
          <t>DANIEL VERDE FACT 10488</t>
        </is>
      </c>
      <c r="G27" s="21" t="inlineStr">
        <is>
          <t>35.321,17</t>
        </is>
      </c>
      <c r="J27" t="inlineStr">
        <is>
          <t>10488</t>
        </is>
      </c>
      <c r="K27" s="12" t="inlineStr">
        <is>
          <t>8.2 — Pago de cuentas por pagar</t>
        </is>
      </c>
    </row>
    <row r="28">
      <c r="A28" s="6">
        <f>A27+1</f>
        <v/>
      </c>
      <c r="B28" t="inlineStr">
        <is>
          <t>Abril</t>
        </is>
      </c>
      <c r="C28" s="6" t="inlineStr">
        <is>
          <t>BCV</t>
        </is>
      </c>
      <c r="D28" s="15" t="n">
        <v>46121</v>
      </c>
      <c r="E28" s="17" t="n">
        <v>917361</v>
      </c>
      <c r="F28" s="18" t="inlineStr">
        <is>
          <t>ON LIVE RENOVACION</t>
        </is>
      </c>
      <c r="G28" s="22" t="n">
        <v>2640</v>
      </c>
      <c r="J28" t="inlineStr"/>
      <c r="K28" s="12" t="inlineStr">
        <is>
          <t>3.12 — Mercadeo</t>
        </is>
      </c>
    </row>
    <row r="29">
      <c r="A29" s="6">
        <f>A28+1</f>
        <v/>
      </c>
      <c r="B29" t="inlineStr">
        <is>
          <t>Abril</t>
        </is>
      </c>
      <c r="C29" s="6" t="inlineStr">
        <is>
          <t>BCV</t>
        </is>
      </c>
      <c r="D29" s="15" t="n">
        <v>46121</v>
      </c>
      <c r="E29" s="16" t="inlineStr">
        <is>
          <t>21840496</t>
        </is>
      </c>
      <c r="F29" s="18" t="inlineStr">
        <is>
          <t>GRUPO PERING FACT 3092</t>
        </is>
      </c>
      <c r="G29" s="21" t="inlineStr">
        <is>
          <t>39.649,78</t>
        </is>
      </c>
      <c r="J29" t="inlineStr">
        <is>
          <t>3092</t>
        </is>
      </c>
      <c r="K29" t="inlineStr">
        <is>
          <t>4.4 — Condominio</t>
        </is>
      </c>
    </row>
    <row r="30">
      <c r="A30" s="6">
        <f>A29+1</f>
        <v/>
      </c>
      <c r="B30" t="inlineStr">
        <is>
          <t>Abril</t>
        </is>
      </c>
      <c r="C30" s="6" t="inlineStr">
        <is>
          <t>BCV</t>
        </is>
      </c>
      <c r="D30" s="15" t="n">
        <v>46121</v>
      </c>
      <c r="E30" s="16" t="inlineStr">
        <is>
          <t>73287701</t>
        </is>
      </c>
      <c r="F30" s="18" t="inlineStr">
        <is>
          <t>GRUPO PERING ALQ MARZO 2026</t>
        </is>
      </c>
      <c r="G30" s="21" t="inlineStr">
        <is>
          <t>145.501,52</t>
        </is>
      </c>
      <c r="J30" t="inlineStr"/>
      <c r="K30" s="12" t="inlineStr">
        <is>
          <t>4.3 — Alquiler</t>
        </is>
      </c>
    </row>
    <row r="31">
      <c r="A31" s="6">
        <f>A30+1</f>
        <v/>
      </c>
      <c r="B31" t="inlineStr">
        <is>
          <t>Abril</t>
        </is>
      </c>
      <c r="C31" s="6" t="inlineStr">
        <is>
          <t>BCV</t>
        </is>
      </c>
      <c r="D31" s="15" t="n">
        <v>46122</v>
      </c>
      <c r="E31" s="17" t="n">
        <v>595</v>
      </c>
      <c r="F31" s="18" t="inlineStr">
        <is>
          <t>ALBERTO HEREIRA COPIA LLA</t>
        </is>
      </c>
      <c r="G31" s="22" t="n">
        <v>34300</v>
      </c>
      <c r="J31" t="inlineStr"/>
      <c r="K31" t="inlineStr">
        <is>
          <t>4.10 — Mantenimiento</t>
        </is>
      </c>
    </row>
    <row r="32">
      <c r="A32" s="6">
        <f>A31+1</f>
        <v/>
      </c>
      <c r="B32" t="inlineStr">
        <is>
          <t>Abril</t>
        </is>
      </c>
      <c r="C32" s="6" t="inlineStr">
        <is>
          <t>BCV</t>
        </is>
      </c>
      <c r="D32" s="15" t="n">
        <v>46122</v>
      </c>
      <c r="E32" s="16" t="inlineStr">
        <is>
          <t>00673704</t>
        </is>
      </c>
      <c r="F32" s="18" t="inlineStr">
        <is>
          <t>YOFRAN SABINO FERRETERIA</t>
        </is>
      </c>
      <c r="G32" s="21" t="inlineStr">
        <is>
          <t>2.507,50</t>
        </is>
      </c>
      <c r="J32" t="inlineStr"/>
      <c r="K32" t="inlineStr">
        <is>
          <t>4.7 — Deliveries Insumos</t>
        </is>
      </c>
    </row>
    <row r="33">
      <c r="A33" s="6">
        <f>A32+1</f>
        <v/>
      </c>
      <c r="B33" t="inlineStr">
        <is>
          <t>Abril</t>
        </is>
      </c>
      <c r="C33" s="6" t="inlineStr">
        <is>
          <t>BCV</t>
        </is>
      </c>
      <c r="D33" s="15" t="n">
        <v>46122</v>
      </c>
      <c r="E33" s="16" t="inlineStr">
        <is>
          <t>00705203</t>
        </is>
      </c>
      <c r="F33" s="18" t="inlineStr">
        <is>
          <t>INVERSIONES RISABUFON FACT 331</t>
        </is>
      </c>
      <c r="G33" s="21" t="inlineStr">
        <is>
          <t>578.292,88</t>
        </is>
      </c>
      <c r="J33" t="inlineStr">
        <is>
          <t>331</t>
        </is>
      </c>
      <c r="K33" t="inlineStr">
        <is>
          <t>2.1 — Compras de mercancía</t>
        </is>
      </c>
    </row>
    <row r="34">
      <c r="A34" s="6">
        <f>A33+1</f>
        <v/>
      </c>
      <c r="B34" t="inlineStr">
        <is>
          <t>Abril</t>
        </is>
      </c>
      <c r="C34" s="6" t="inlineStr">
        <is>
          <t>BCV</t>
        </is>
      </c>
      <c r="D34" s="15" t="n">
        <v>46122</v>
      </c>
      <c r="E34" s="16" t="inlineStr">
        <is>
          <t>00708546</t>
        </is>
      </c>
      <c r="F34" s="18" t="inlineStr">
        <is>
          <t>CORPORACION XETUX FACT 15370</t>
        </is>
      </c>
      <c r="G34" s="21" t="inlineStr">
        <is>
          <t>7.988,10</t>
        </is>
      </c>
      <c r="J34" t="inlineStr">
        <is>
          <t>15370</t>
        </is>
      </c>
      <c r="K34" t="inlineStr">
        <is>
          <t>3.17 — Software</t>
        </is>
      </c>
    </row>
    <row r="35">
      <c r="A35" s="6">
        <f>A34+1</f>
        <v/>
      </c>
      <c r="B35" t="inlineStr">
        <is>
          <t>Abril</t>
        </is>
      </c>
      <c r="C35" s="6" t="inlineStr">
        <is>
          <t>BCV</t>
        </is>
      </c>
      <c r="D35" s="15" t="n">
        <v>46122</v>
      </c>
      <c r="E35" s="17" t="n">
        <v>595</v>
      </c>
      <c r="F35" s="18" t="inlineStr">
        <is>
          <t>ALBERTO HEREIRA COPIA LLA</t>
        </is>
      </c>
      <c r="G35" s="22" t="n">
        <v>34300</v>
      </c>
      <c r="J35" t="inlineStr"/>
      <c r="K35" t="inlineStr">
        <is>
          <t>4.10 — Mantenimiento</t>
        </is>
      </c>
    </row>
    <row r="36">
      <c r="A36" s="6">
        <f>A35+1</f>
        <v/>
      </c>
      <c r="B36" t="inlineStr">
        <is>
          <t>Abril</t>
        </is>
      </c>
      <c r="C36" s="6" t="inlineStr">
        <is>
          <t>BCV</t>
        </is>
      </c>
      <c r="D36" s="15" t="n">
        <v>46122</v>
      </c>
      <c r="E36" s="16" t="inlineStr">
        <is>
          <t>00734609</t>
        </is>
      </c>
      <c r="F36" s="18" t="inlineStr">
        <is>
          <t>YOFRAN SABINO DELIVERYS</t>
        </is>
      </c>
      <c r="G36" s="21" t="inlineStr">
        <is>
          <t>2.006,00</t>
        </is>
      </c>
      <c r="J36" t="inlineStr"/>
      <c r="K36" t="inlineStr">
        <is>
          <t>4.7 — Deliveries Insumos</t>
        </is>
      </c>
    </row>
    <row r="37">
      <c r="A37" s="6">
        <f>A36+1</f>
        <v/>
      </c>
      <c r="B37" t="inlineStr">
        <is>
          <t>Abril</t>
        </is>
      </c>
      <c r="C37" s="6" t="inlineStr">
        <is>
          <t>BCV</t>
        </is>
      </c>
      <c r="D37" s="15" t="n">
        <v>46123</v>
      </c>
      <c r="E37" s="16" t="inlineStr">
        <is>
          <t>00942973</t>
        </is>
      </c>
      <c r="F37" s="18" t="inlineStr">
        <is>
          <t>NICOL RAMIREZ ANTC PUNTOS</t>
        </is>
      </c>
      <c r="G37" s="21" t="inlineStr">
        <is>
          <t>1.504,50</t>
        </is>
      </c>
      <c r="J37" t="inlineStr"/>
      <c r="K37" t="inlineStr">
        <is>
          <t>9.3 — Anticipos de nómina</t>
        </is>
      </c>
    </row>
    <row r="38">
      <c r="A38" s="6">
        <f>A37+1</f>
        <v/>
      </c>
      <c r="B38" t="inlineStr">
        <is>
          <t>Abril</t>
        </is>
      </c>
      <c r="C38" s="6" t="inlineStr">
        <is>
          <t>BCV</t>
        </is>
      </c>
      <c r="D38" s="15" t="n">
        <v>46124</v>
      </c>
      <c r="E38" s="16" t="inlineStr">
        <is>
          <t>CXP RAF</t>
        </is>
      </c>
      <c r="F38" s="18" t="inlineStr">
        <is>
          <t>INVERSIONES LUVEBRAS FACT 75574</t>
        </is>
      </c>
      <c r="G38" s="21" t="n">
        <v>1802.11</v>
      </c>
      <c r="J38" t="inlineStr">
        <is>
          <t>75574</t>
        </is>
      </c>
      <c r="K38" t="inlineStr">
        <is>
          <t>8.2 — Pago de cuentas por pagar</t>
        </is>
      </c>
    </row>
    <row r="39">
      <c r="A39" s="6">
        <f>A38+1</f>
        <v/>
      </c>
      <c r="B39" t="inlineStr">
        <is>
          <t>Abril</t>
        </is>
      </c>
      <c r="C39" s="6" t="inlineStr">
        <is>
          <t>BCV</t>
        </is>
      </c>
      <c r="D39" s="15" t="n">
        <v>46124</v>
      </c>
      <c r="E39" s="16" t="inlineStr">
        <is>
          <t>CXP RAF</t>
        </is>
      </c>
      <c r="F39" s="18" t="inlineStr">
        <is>
          <t>MANICERIA SAN JORGE FACT 84904</t>
        </is>
      </c>
      <c r="G39" s="21" t="n">
        <v>2326.06</v>
      </c>
      <c r="J39" t="inlineStr">
        <is>
          <t>84904</t>
        </is>
      </c>
      <c r="K39" t="inlineStr">
        <is>
          <t>8.2 — Pago de cuentas por pagar</t>
        </is>
      </c>
    </row>
    <row r="40">
      <c r="A40" s="6">
        <f>A39+1</f>
        <v/>
      </c>
      <c r="B40" t="inlineStr">
        <is>
          <t>Abril</t>
        </is>
      </c>
      <c r="C40" s="6" t="inlineStr">
        <is>
          <t>BCV</t>
        </is>
      </c>
      <c r="D40" s="15" t="n">
        <v>46125</v>
      </c>
      <c r="E40" s="16" t="inlineStr">
        <is>
          <t>00263846</t>
        </is>
      </c>
      <c r="F40" s="18" t="inlineStr">
        <is>
          <t>DAVIENMANUEL PRIN DIAS TRAB 7 AL 12 04</t>
        </is>
      </c>
      <c r="G40" s="21" t="inlineStr">
        <is>
          <t>18.722,67</t>
        </is>
      </c>
      <c r="J40" t="inlineStr"/>
      <c r="K40" t="inlineStr">
        <is>
          <t>3.1 — Sueldos</t>
        </is>
      </c>
    </row>
    <row r="41">
      <c r="A41" s="6">
        <f>A40+1</f>
        <v/>
      </c>
      <c r="B41" t="inlineStr">
        <is>
          <t>Abril</t>
        </is>
      </c>
      <c r="C41" s="6" t="inlineStr">
        <is>
          <t>BCV</t>
        </is>
      </c>
      <c r="D41" s="15" t="n">
        <v>46125</v>
      </c>
      <c r="E41" s="16" t="inlineStr">
        <is>
          <t>00260639</t>
        </is>
      </c>
      <c r="F41" s="18" t="inlineStr">
        <is>
          <t>DAVIENMANUEL PRIN PROP 6 AL 12 04 26</t>
        </is>
      </c>
      <c r="G41" s="21" t="inlineStr">
        <is>
          <t>6.922,99</t>
        </is>
      </c>
      <c r="J41" t="inlineStr"/>
      <c r="K41" t="inlineStr">
        <is>
          <t>8.1 — Bono 10% y Propinas por pagar al personal</t>
        </is>
      </c>
    </row>
    <row r="42">
      <c r="A42" s="6">
        <f>A41+1</f>
        <v/>
      </c>
      <c r="B42" t="inlineStr">
        <is>
          <t>Abril</t>
        </is>
      </c>
      <c r="C42" s="6" t="inlineStr">
        <is>
          <t>BCV</t>
        </is>
      </c>
      <c r="D42" s="15" t="n">
        <v>46125</v>
      </c>
      <c r="E42" s="16" t="inlineStr">
        <is>
          <t>64338170</t>
        </is>
      </c>
      <c r="F42" s="18" t="inlineStr">
        <is>
          <t>JORGE CANABAL BONO ALIM 1RA QNA ABRIL26</t>
        </is>
      </c>
      <c r="G42" s="21" t="inlineStr">
        <is>
          <t>11.202,00</t>
        </is>
      </c>
      <c r="J42" t="inlineStr"/>
      <c r="K42" t="inlineStr">
        <is>
          <t>3.1 — Sueldos</t>
        </is>
      </c>
    </row>
    <row r="43">
      <c r="A43" s="6">
        <f>A42+1</f>
        <v/>
      </c>
      <c r="B43" t="inlineStr">
        <is>
          <t>Abril</t>
        </is>
      </c>
      <c r="C43" s="6" t="inlineStr">
        <is>
          <t>BCV</t>
        </is>
      </c>
      <c r="D43" s="15" t="n">
        <v>46125</v>
      </c>
      <c r="E43" s="16" t="inlineStr">
        <is>
          <t>50593713</t>
        </is>
      </c>
      <c r="F43" s="18" t="inlineStr">
        <is>
          <t>JORGE CANABAL BONO COMPENSATORIO 1RA QNA</t>
        </is>
      </c>
      <c r="G43" s="21" t="inlineStr">
        <is>
          <t>203.850,10</t>
        </is>
      </c>
      <c r="J43" t="inlineStr"/>
      <c r="K43" t="inlineStr">
        <is>
          <t>3.1 — Sueldos</t>
        </is>
      </c>
    </row>
    <row r="44">
      <c r="A44" s="6">
        <f>A43+1</f>
        <v/>
      </c>
      <c r="B44" t="inlineStr">
        <is>
          <t>Abril</t>
        </is>
      </c>
      <c r="C44" s="6" t="inlineStr">
        <is>
          <t>BCV</t>
        </is>
      </c>
      <c r="D44" s="15" t="n">
        <v>46125</v>
      </c>
      <c r="E44" s="16" t="inlineStr">
        <is>
          <t>12792037</t>
        </is>
      </c>
      <c r="F44" s="18" t="inlineStr">
        <is>
          <t>JORGE CANABAL PRIM QNA ABRIL26</t>
        </is>
      </c>
      <c r="G44" s="21" t="inlineStr">
        <is>
          <t>48.383,69</t>
        </is>
      </c>
      <c r="J44" t="inlineStr"/>
      <c r="K44" t="inlineStr">
        <is>
          <t>3.1 — Sueldos</t>
        </is>
      </c>
    </row>
    <row r="45">
      <c r="A45" s="6">
        <f>A44+1</f>
        <v/>
      </c>
      <c r="B45" t="inlineStr">
        <is>
          <t>Abril</t>
        </is>
      </c>
      <c r="C45" s="6" t="inlineStr">
        <is>
          <t>BCV</t>
        </is>
      </c>
      <c r="D45" s="15" t="n">
        <v>46126</v>
      </c>
      <c r="E45" s="16" t="inlineStr">
        <is>
          <t>00479105</t>
        </is>
      </c>
      <c r="F45" s="18" t="inlineStr">
        <is>
          <t>ANITA BOHN FACT 8916</t>
        </is>
      </c>
      <c r="G45" s="21" t="inlineStr">
        <is>
          <t>17.452,11</t>
        </is>
      </c>
      <c r="J45" t="inlineStr">
        <is>
          <t>8916</t>
        </is>
      </c>
      <c r="K45" t="inlineStr">
        <is>
          <t>8.2 — Pago de cuentas por pagar</t>
        </is>
      </c>
    </row>
    <row r="46">
      <c r="A46" s="6">
        <f>A45+1</f>
        <v/>
      </c>
      <c r="B46" t="inlineStr">
        <is>
          <t>Abril</t>
        </is>
      </c>
      <c r="C46" s="6" t="inlineStr">
        <is>
          <t>BCV</t>
        </is>
      </c>
      <c r="D46" s="15" t="n">
        <v>46126</v>
      </c>
      <c r="E46" s="16" t="inlineStr">
        <is>
          <t>00477120</t>
        </is>
      </c>
      <c r="F46" s="18" t="inlineStr">
        <is>
          <t>COMERCIAL PARIATA 2 BOMBONAS CO2</t>
        </is>
      </c>
      <c r="G46" s="21" t="inlineStr">
        <is>
          <t>33.534,40</t>
        </is>
      </c>
      <c r="J46" t="inlineStr"/>
      <c r="K46" t="inlineStr">
        <is>
          <t>4.5 — Suministros Comedor y Limpieza</t>
        </is>
      </c>
    </row>
    <row r="47">
      <c r="A47" s="6">
        <f>A46+1</f>
        <v/>
      </c>
      <c r="B47" t="inlineStr">
        <is>
          <t>Abril</t>
        </is>
      </c>
      <c r="C47" s="6" t="inlineStr">
        <is>
          <t>BCV</t>
        </is>
      </c>
      <c r="D47" s="15" t="n">
        <v>46126</v>
      </c>
      <c r="E47" s="16" t="inlineStr">
        <is>
          <t>00477802</t>
        </is>
      </c>
      <c r="F47" s="18" t="inlineStr">
        <is>
          <t>EDAAS SHOP INVERSIONES FACT 20175</t>
        </is>
      </c>
      <c r="G47" s="21" t="inlineStr">
        <is>
          <t>13.988,64</t>
        </is>
      </c>
      <c r="J47" t="inlineStr">
        <is>
          <t>20175</t>
        </is>
      </c>
      <c r="K47" t="inlineStr">
        <is>
          <t>2.1 — Compras de mercancía</t>
        </is>
      </c>
    </row>
    <row r="48">
      <c r="A48" s="6">
        <f>A47+1</f>
        <v/>
      </c>
      <c r="B48" t="inlineStr">
        <is>
          <t>Abril</t>
        </is>
      </c>
      <c r="C48" s="6" t="inlineStr">
        <is>
          <t>BCV</t>
        </is>
      </c>
      <c r="D48" s="15" t="n">
        <v>46127</v>
      </c>
      <c r="E48" s="16" t="inlineStr">
        <is>
          <t>00550569</t>
        </is>
      </c>
      <c r="F48" s="18" t="inlineStr">
        <is>
          <t>COMERCIAL EL GUACHARO PEDIDO 150426</t>
        </is>
      </c>
      <c r="G48" s="21" t="inlineStr">
        <is>
          <t>62.714,05</t>
        </is>
      </c>
      <c r="J48" t="inlineStr">
        <is>
          <t>150426</t>
        </is>
      </c>
      <c r="K48" s="12" t="inlineStr">
        <is>
          <t>8.2 — Pago de cuentas por pagar</t>
        </is>
      </c>
    </row>
    <row r="49">
      <c r="A49" s="6">
        <f>A48+1</f>
        <v/>
      </c>
      <c r="B49" t="inlineStr">
        <is>
          <t>Abril</t>
        </is>
      </c>
      <c r="C49" s="6" t="inlineStr">
        <is>
          <t>BCV</t>
        </is>
      </c>
      <c r="D49" s="15" t="n">
        <v>46127</v>
      </c>
      <c r="E49" s="16" t="inlineStr">
        <is>
          <t>00537875</t>
        </is>
      </c>
      <c r="F49" s="18" t="inlineStr">
        <is>
          <t>MUNDO BOQUILLA</t>
        </is>
      </c>
      <c r="G49" s="21" t="inlineStr">
        <is>
          <t>13.920,49</t>
        </is>
      </c>
      <c r="J49" t="inlineStr"/>
      <c r="K49" t="inlineStr">
        <is>
          <t>2.1 — Compras de mercancía</t>
        </is>
      </c>
    </row>
    <row r="50">
      <c r="A50" s="6">
        <f>A49+1</f>
        <v/>
      </c>
      <c r="B50" t="inlineStr">
        <is>
          <t>Abril</t>
        </is>
      </c>
      <c r="C50" s="6" t="inlineStr">
        <is>
          <t>BCV</t>
        </is>
      </c>
      <c r="D50" s="15" t="n">
        <v>46128</v>
      </c>
      <c r="E50" s="16" t="inlineStr">
        <is>
          <t>05317959</t>
        </is>
      </c>
      <c r="F50" s="18" t="inlineStr">
        <is>
          <t>ALIMENTOS FINQUERA NE9498</t>
        </is>
      </c>
      <c r="G50" s="21" t="inlineStr">
        <is>
          <t>18.612,57</t>
        </is>
      </c>
      <c r="J50" t="inlineStr">
        <is>
          <t>9498</t>
        </is>
      </c>
      <c r="K50" t="inlineStr">
        <is>
          <t>8.2 — Pago de cuentas por pagar</t>
        </is>
      </c>
    </row>
    <row r="51">
      <c r="A51" s="6">
        <f>A50+1</f>
        <v/>
      </c>
      <c r="B51" t="inlineStr">
        <is>
          <t>Abril</t>
        </is>
      </c>
      <c r="C51" s="6" t="inlineStr">
        <is>
          <t>BCV</t>
        </is>
      </c>
      <c r="D51" s="15" t="n">
        <v>46128</v>
      </c>
      <c r="E51" s="16" t="inlineStr">
        <is>
          <t>00686329</t>
        </is>
      </c>
      <c r="F51" s="18" t="inlineStr">
        <is>
          <t>ALIMENTOS OCEANIA NE 76067</t>
        </is>
      </c>
      <c r="G51" s="21" t="inlineStr">
        <is>
          <t>183.589,03</t>
        </is>
      </c>
      <c r="J51" t="inlineStr">
        <is>
          <t>76067</t>
        </is>
      </c>
      <c r="K51" s="12" t="inlineStr">
        <is>
          <t>8.2 — Pago de cuentas por pagar</t>
        </is>
      </c>
    </row>
    <row r="52">
      <c r="A52" s="6">
        <f>A51+1</f>
        <v/>
      </c>
      <c r="B52" t="inlineStr">
        <is>
          <t>Abril</t>
        </is>
      </c>
      <c r="C52" s="6" t="inlineStr">
        <is>
          <t>BCV</t>
        </is>
      </c>
      <c r="D52" s="15" t="n">
        <v>46128</v>
      </c>
      <c r="E52" s="16" t="inlineStr">
        <is>
          <t>31172072</t>
        </is>
      </c>
      <c r="F52" s="18" t="inlineStr">
        <is>
          <t>CERVECERIA INDEPENDIENTE F4495 NE 1483 4</t>
        </is>
      </c>
      <c r="G52" s="21" t="inlineStr">
        <is>
          <t>155.760,27</t>
        </is>
      </c>
      <c r="J52" t="inlineStr">
        <is>
          <t>4495</t>
        </is>
      </c>
      <c r="K52" s="12" t="inlineStr">
        <is>
          <t>2.1 — Compras de mercancía</t>
        </is>
      </c>
    </row>
    <row r="53">
      <c r="A53" s="6">
        <f>A52+1</f>
        <v/>
      </c>
      <c r="B53" t="inlineStr">
        <is>
          <t>Abril</t>
        </is>
      </c>
      <c r="C53" s="6" t="inlineStr">
        <is>
          <t>BCV</t>
        </is>
      </c>
      <c r="D53" s="15" t="n">
        <v>46128</v>
      </c>
      <c r="E53" s="16" t="inlineStr">
        <is>
          <t>TD</t>
        </is>
      </c>
      <c r="F53" s="18" t="inlineStr">
        <is>
          <t>COMERCIALIZADORA 1108 FACT 267075</t>
        </is>
      </c>
      <c r="G53" s="21" t="n">
        <v>33370.18</v>
      </c>
      <c r="J53" t="inlineStr">
        <is>
          <t>267075</t>
        </is>
      </c>
      <c r="K53" s="12" t="inlineStr">
        <is>
          <t>8.2 — Pago de cuentas por pagar</t>
        </is>
      </c>
    </row>
    <row r="54">
      <c r="A54" s="6">
        <f>A53+1</f>
        <v/>
      </c>
      <c r="B54" t="inlineStr">
        <is>
          <t>Abril</t>
        </is>
      </c>
      <c r="C54" s="6" t="inlineStr">
        <is>
          <t>BCV</t>
        </is>
      </c>
      <c r="D54" s="15" t="n">
        <v>46128</v>
      </c>
      <c r="E54" s="16" t="inlineStr">
        <is>
          <t>00688535</t>
        </is>
      </c>
      <c r="F54" s="18" t="inlineStr">
        <is>
          <t>COMERCIALIZADORA ARINVE MANOCO</t>
        </is>
      </c>
      <c r="G54" s="21" t="inlineStr">
        <is>
          <t>3.368,47</t>
        </is>
      </c>
      <c r="J54" t="inlineStr"/>
      <c r="K54" t="inlineStr">
        <is>
          <t>2.1 — Compras de mercancía</t>
        </is>
      </c>
    </row>
    <row r="55">
      <c r="A55" s="6">
        <f>A54+1</f>
        <v/>
      </c>
      <c r="B55" t="inlineStr">
        <is>
          <t>Abril</t>
        </is>
      </c>
      <c r="C55" s="6" t="inlineStr">
        <is>
          <t>BCV</t>
        </is>
      </c>
      <c r="D55" s="15" t="n">
        <v>46128</v>
      </c>
      <c r="E55" s="16" t="inlineStr">
        <is>
          <t>00768543</t>
        </is>
      </c>
      <c r="F55" s="18" t="inlineStr">
        <is>
          <t>DANIEL VERDE FACT 10495</t>
        </is>
      </c>
      <c r="G55" s="21" t="inlineStr">
        <is>
          <t>8.830,33</t>
        </is>
      </c>
      <c r="J55" t="inlineStr">
        <is>
          <t>10495</t>
        </is>
      </c>
      <c r="K55" t="inlineStr">
        <is>
          <t>8.2 — Pago de cuentas por pagar</t>
        </is>
      </c>
    </row>
    <row r="56">
      <c r="A56" s="6">
        <f>A55+1</f>
        <v/>
      </c>
      <c r="B56" t="inlineStr">
        <is>
          <t>Abril</t>
        </is>
      </c>
      <c r="C56" s="6" t="inlineStr">
        <is>
          <t>BCV</t>
        </is>
      </c>
      <c r="D56" s="15" t="n">
        <v>46128</v>
      </c>
      <c r="E56" s="16" t="inlineStr">
        <is>
          <t>00768581</t>
        </is>
      </c>
      <c r="F56" s="18" t="inlineStr">
        <is>
          <t>EGUI CASTELLANOS ANTC QNA</t>
        </is>
      </c>
      <c r="G56" s="21" t="inlineStr">
        <is>
          <t>25.075,00</t>
        </is>
      </c>
      <c r="J56" t="inlineStr"/>
      <c r="K56" t="inlineStr">
        <is>
          <t>9.3 — Anticipos de nómina</t>
        </is>
      </c>
    </row>
    <row r="57">
      <c r="A57" s="6">
        <f>A56+1</f>
        <v/>
      </c>
      <c r="B57" t="inlineStr">
        <is>
          <t>Abril</t>
        </is>
      </c>
      <c r="C57" s="6" t="inlineStr">
        <is>
          <t>BCV</t>
        </is>
      </c>
      <c r="D57" s="15" t="n">
        <v>46128</v>
      </c>
      <c r="E57" s="16" t="inlineStr">
        <is>
          <t>00768563</t>
        </is>
      </c>
      <c r="F57" s="18" t="inlineStr">
        <is>
          <t>EUROLIMPIEZA 2008 SD FACT 3623</t>
        </is>
      </c>
      <c r="G57" s="21" t="inlineStr">
        <is>
          <t>36.730,33</t>
        </is>
      </c>
      <c r="J57" t="inlineStr">
        <is>
          <t>3623</t>
        </is>
      </c>
      <c r="K57" t="inlineStr">
        <is>
          <t>8.2 — Pago de cuentas por pagar</t>
        </is>
      </c>
    </row>
    <row r="58">
      <c r="A58" s="6">
        <f>A57+1</f>
        <v/>
      </c>
      <c r="B58" t="inlineStr">
        <is>
          <t>Abril</t>
        </is>
      </c>
      <c r="C58" s="6" t="inlineStr">
        <is>
          <t>BCV</t>
        </is>
      </c>
      <c r="D58" s="15" t="n">
        <v>46128</v>
      </c>
      <c r="E58" s="16" t="inlineStr">
        <is>
          <t>00768560</t>
        </is>
      </c>
      <c r="F58" s="18" t="inlineStr">
        <is>
          <t>EXQUISITESES MEXICANOS FACT 13921</t>
        </is>
      </c>
      <c r="G58" s="21" t="inlineStr">
        <is>
          <t>35.725,54</t>
        </is>
      </c>
      <c r="J58" t="inlineStr">
        <is>
          <t>13921</t>
        </is>
      </c>
      <c r="K58" t="inlineStr">
        <is>
          <t>8.2 — Pago de cuentas por pagar</t>
        </is>
      </c>
    </row>
    <row r="59">
      <c r="A59" s="6">
        <f>A58+1</f>
        <v/>
      </c>
      <c r="B59" t="inlineStr">
        <is>
          <t>Abril</t>
        </is>
      </c>
      <c r="C59" s="6" t="inlineStr">
        <is>
          <t>BCV</t>
        </is>
      </c>
      <c r="D59" s="15" t="n">
        <v>46128</v>
      </c>
      <c r="E59" s="16" t="inlineStr">
        <is>
          <t>TD</t>
        </is>
      </c>
      <c r="F59" s="18" t="inlineStr">
        <is>
          <t>INSIDE MARKET FACT 41047</t>
        </is>
      </c>
      <c r="G59" s="21" t="n">
        <v>24714.38</v>
      </c>
      <c r="J59" t="inlineStr">
        <is>
          <t>41047</t>
        </is>
      </c>
      <c r="K59" t="inlineStr">
        <is>
          <t>2.1 — Compras de mercancía</t>
        </is>
      </c>
    </row>
    <row r="60">
      <c r="A60" s="6">
        <f>A59+1</f>
        <v/>
      </c>
      <c r="B60" t="inlineStr">
        <is>
          <t>Abril</t>
        </is>
      </c>
      <c r="C60" s="6" t="inlineStr">
        <is>
          <t>BCV</t>
        </is>
      </c>
      <c r="D60" s="15" t="n">
        <v>46128</v>
      </c>
      <c r="E60" s="16" t="inlineStr">
        <is>
          <t>00768547</t>
        </is>
      </c>
      <c r="F60" s="18" t="inlineStr">
        <is>
          <t>INVERSIONES FS 2018 F194 Y 197</t>
        </is>
      </c>
      <c r="G60" s="21" t="inlineStr">
        <is>
          <t>159.427,14</t>
        </is>
      </c>
      <c r="J60" t="inlineStr">
        <is>
          <t>194</t>
        </is>
      </c>
      <c r="K60" s="12" t="inlineStr">
        <is>
          <t>2.1 — Compras de mercancía</t>
        </is>
      </c>
    </row>
    <row r="61">
      <c r="A61" s="6">
        <f>A60+1</f>
        <v/>
      </c>
      <c r="B61" t="inlineStr">
        <is>
          <t>Abril</t>
        </is>
      </c>
      <c r="C61" s="6" t="inlineStr">
        <is>
          <t>BCV</t>
        </is>
      </c>
      <c r="D61" s="15" t="n">
        <v>46128</v>
      </c>
      <c r="E61" s="16" t="inlineStr">
        <is>
          <t>00768574</t>
        </is>
      </c>
      <c r="F61" s="18" t="inlineStr">
        <is>
          <t>INVERSIONES JAW 2020 PEDIDO 140426</t>
        </is>
      </c>
      <c r="G61" s="21" t="inlineStr">
        <is>
          <t>37.534,92</t>
        </is>
      </c>
      <c r="J61" t="inlineStr">
        <is>
          <t>140426</t>
        </is>
      </c>
      <c r="K61" s="12" t="inlineStr">
        <is>
          <t>2.1 — Compras de mercancía</t>
        </is>
      </c>
    </row>
    <row r="62">
      <c r="A62" s="6">
        <f>A61+1</f>
        <v/>
      </c>
      <c r="B62" t="inlineStr">
        <is>
          <t>Abril</t>
        </is>
      </c>
      <c r="C62" s="6" t="inlineStr">
        <is>
          <t>BCV</t>
        </is>
      </c>
      <c r="D62" s="15" t="n">
        <v>46128</v>
      </c>
      <c r="E62" s="16" t="inlineStr">
        <is>
          <t>TD</t>
        </is>
      </c>
      <c r="F62" s="18" t="inlineStr">
        <is>
          <t>INVERSIONES LUVEBRAS FACT 129517</t>
        </is>
      </c>
      <c r="G62" s="21" t="n">
        <v>7209.46</v>
      </c>
      <c r="J62" t="inlineStr">
        <is>
          <t>129517</t>
        </is>
      </c>
      <c r="K62" t="inlineStr">
        <is>
          <t>8.2 — Pago de cuentas por pagar</t>
        </is>
      </c>
    </row>
    <row r="63">
      <c r="A63" s="6">
        <f>A62+1</f>
        <v/>
      </c>
      <c r="B63" t="inlineStr">
        <is>
          <t>Abril</t>
        </is>
      </c>
      <c r="C63" s="6" t="inlineStr">
        <is>
          <t>BCV</t>
        </is>
      </c>
      <c r="D63" s="15" t="n">
        <v>46128</v>
      </c>
      <c r="E63" s="16" t="inlineStr">
        <is>
          <t>00770000</t>
        </is>
      </c>
      <c r="F63" s="18" t="inlineStr">
        <is>
          <t>INVERSIONES RAMALE F17024 40 72</t>
        </is>
      </c>
      <c r="G63" s="21" t="inlineStr">
        <is>
          <t>65.936,33</t>
        </is>
      </c>
      <c r="J63" t="inlineStr">
        <is>
          <t>17024</t>
        </is>
      </c>
      <c r="K63" s="12" t="inlineStr">
        <is>
          <t>8.2 — Pago de cuentas por pagar</t>
        </is>
      </c>
    </row>
    <row r="64">
      <c r="A64" s="6">
        <f>A63+1</f>
        <v/>
      </c>
      <c r="B64" t="inlineStr">
        <is>
          <t>Abril</t>
        </is>
      </c>
      <c r="C64" s="6" t="inlineStr">
        <is>
          <t>BCV</t>
        </is>
      </c>
      <c r="D64" s="15" t="n">
        <v>46128</v>
      </c>
      <c r="E64" s="16" t="inlineStr">
        <is>
          <t>00768555</t>
        </is>
      </c>
      <c r="F64" s="18" t="inlineStr">
        <is>
          <t>JUAN C DIAZ FACT 6762</t>
        </is>
      </c>
      <c r="G64" s="21" t="inlineStr">
        <is>
          <t>69.545,45</t>
        </is>
      </c>
      <c r="J64" t="inlineStr">
        <is>
          <t>6762</t>
        </is>
      </c>
      <c r="K64" s="12" t="inlineStr">
        <is>
          <t>8.2 — Pago de cuentas por pagar</t>
        </is>
      </c>
    </row>
    <row r="65">
      <c r="A65" s="6">
        <f>A64+1</f>
        <v/>
      </c>
      <c r="B65" t="inlineStr">
        <is>
          <t>Abril</t>
        </is>
      </c>
      <c r="C65" s="6" t="inlineStr">
        <is>
          <t>BCV</t>
        </is>
      </c>
      <c r="D65" s="15" t="n">
        <v>46128</v>
      </c>
      <c r="E65" s="16" t="inlineStr">
        <is>
          <t>00768553</t>
        </is>
      </c>
      <c r="F65" s="18" t="inlineStr">
        <is>
          <t>MARKET CCS 25 F619 Y 631</t>
        </is>
      </c>
      <c r="G65" s="21" t="inlineStr">
        <is>
          <t>138.898,43</t>
        </is>
      </c>
      <c r="J65" t="inlineStr">
        <is>
          <t>619</t>
        </is>
      </c>
      <c r="K65" s="12" t="inlineStr">
        <is>
          <t>8.2 — Pago de cuentas por pagar</t>
        </is>
      </c>
    </row>
    <row r="66">
      <c r="A66" s="6">
        <f>A65+1</f>
        <v/>
      </c>
      <c r="B66" t="inlineStr">
        <is>
          <t>Abril</t>
        </is>
      </c>
      <c r="C66" s="6" t="inlineStr">
        <is>
          <t>BCV</t>
        </is>
      </c>
      <c r="D66" s="15" t="n">
        <v>46129</v>
      </c>
      <c r="E66" s="16" t="inlineStr">
        <is>
          <t>00949304</t>
        </is>
      </c>
      <c r="F66" s="18" t="inlineStr">
        <is>
          <t>ANITA BOHN FACT 8930</t>
        </is>
      </c>
      <c r="G66" s="21" t="inlineStr">
        <is>
          <t>7.928,75</t>
        </is>
      </c>
      <c r="J66" t="inlineStr">
        <is>
          <t>8930</t>
        </is>
      </c>
      <c r="K66" t="inlineStr">
        <is>
          <t>8.2 — Pago de cuentas por pagar</t>
        </is>
      </c>
    </row>
    <row r="67">
      <c r="A67" s="6">
        <f>A66+1</f>
        <v/>
      </c>
      <c r="B67" t="inlineStr">
        <is>
          <t>Abril</t>
        </is>
      </c>
      <c r="C67" s="6" t="inlineStr">
        <is>
          <t>BCV</t>
        </is>
      </c>
      <c r="D67" s="15" t="n">
        <v>46129</v>
      </c>
      <c r="E67" s="16" t="inlineStr">
        <is>
          <t>00951915</t>
        </is>
      </c>
      <c r="F67" s="18" t="inlineStr">
        <is>
          <t>CHOCOLATE SAN JOSE FACT 27768</t>
        </is>
      </c>
      <c r="G67" s="21" t="inlineStr">
        <is>
          <t>29.267,97</t>
        </is>
      </c>
      <c r="J67" t="inlineStr">
        <is>
          <t>27768</t>
        </is>
      </c>
      <c r="K67" t="inlineStr">
        <is>
          <t>8.2 — Pago de cuentas por pagar</t>
        </is>
      </c>
    </row>
    <row r="68">
      <c r="A68" s="6">
        <f>A67+1</f>
        <v/>
      </c>
      <c r="B68" t="inlineStr">
        <is>
          <t>Abril</t>
        </is>
      </c>
      <c r="C68" s="6" t="inlineStr">
        <is>
          <t>BCV</t>
        </is>
      </c>
      <c r="D68" s="15" t="n">
        <v>46129</v>
      </c>
      <c r="E68" s="16" t="inlineStr">
        <is>
          <t>00949308</t>
        </is>
      </c>
      <c r="F68" s="18" t="inlineStr">
        <is>
          <t>COMERCIAL EL GUACHARO FACT 240039</t>
        </is>
      </c>
      <c r="G68" s="21" t="inlineStr">
        <is>
          <t>4.720,64</t>
        </is>
      </c>
      <c r="J68" t="inlineStr">
        <is>
          <t>240039</t>
        </is>
      </c>
      <c r="K68" t="inlineStr">
        <is>
          <t>8.2 — Pago de cuentas por pagar</t>
        </is>
      </c>
    </row>
    <row r="69">
      <c r="A69" s="6">
        <f>A68+1</f>
        <v/>
      </c>
      <c r="B69" t="inlineStr">
        <is>
          <t>Abril</t>
        </is>
      </c>
      <c r="C69" s="6" t="inlineStr">
        <is>
          <t>BCV</t>
        </is>
      </c>
      <c r="D69" s="15" t="n">
        <v>46129</v>
      </c>
      <c r="E69" s="16" t="inlineStr">
        <is>
          <t>00949323</t>
        </is>
      </c>
      <c r="F69" s="18" t="inlineStr">
        <is>
          <t>DANIEL VERDE FACT 10518</t>
        </is>
      </c>
      <c r="G69" s="21" t="inlineStr">
        <is>
          <t>67.301,88</t>
        </is>
      </c>
      <c r="J69" t="inlineStr">
        <is>
          <t>10518</t>
        </is>
      </c>
      <c r="K69" t="inlineStr">
        <is>
          <t>8.2 — Pago de cuentas por pagar</t>
        </is>
      </c>
    </row>
    <row r="70">
      <c r="A70" s="6">
        <f>A69+1</f>
        <v/>
      </c>
      <c r="B70" t="inlineStr">
        <is>
          <t>Abril</t>
        </is>
      </c>
      <c r="C70" s="6" t="inlineStr">
        <is>
          <t>BCV</t>
        </is>
      </c>
      <c r="D70" s="15" t="n">
        <v>46129</v>
      </c>
      <c r="E70" s="16" t="inlineStr">
        <is>
          <t>00970081</t>
        </is>
      </c>
      <c r="F70" s="18" t="inlineStr">
        <is>
          <t>DISTRB SERV ALIMENTOS ELIMNAR FACT 3147</t>
        </is>
      </c>
      <c r="G70" s="21" t="inlineStr">
        <is>
          <t>109.778,97</t>
        </is>
      </c>
      <c r="J70" t="inlineStr">
        <is>
          <t>3147</t>
        </is>
      </c>
      <c r="K70" s="12" t="inlineStr">
        <is>
          <t>8.2 — Pago de cuentas por pagar</t>
        </is>
      </c>
    </row>
    <row r="71">
      <c r="A71" s="6">
        <f>A70+1</f>
        <v/>
      </c>
      <c r="B71" t="inlineStr">
        <is>
          <t>Abril</t>
        </is>
      </c>
      <c r="C71" s="6" t="inlineStr">
        <is>
          <t>BCV</t>
        </is>
      </c>
      <c r="D71" s="15" t="n">
        <v>46129</v>
      </c>
      <c r="E71" s="16" t="inlineStr">
        <is>
          <t>00949319</t>
        </is>
      </c>
      <c r="F71" s="18" t="inlineStr">
        <is>
          <t>DISTRIBUIDORA CC 27 NE 6131</t>
        </is>
      </c>
      <c r="G71" s="21" t="inlineStr">
        <is>
          <t>69.976,26</t>
        </is>
      </c>
      <c r="J71" t="inlineStr">
        <is>
          <t>6131</t>
        </is>
      </c>
      <c r="K71" s="12" t="inlineStr">
        <is>
          <t>8.2 — Pago de cuentas por pagar</t>
        </is>
      </c>
    </row>
    <row r="72">
      <c r="A72" s="6">
        <f>A71+1</f>
        <v/>
      </c>
      <c r="B72" t="inlineStr">
        <is>
          <t>Abril</t>
        </is>
      </c>
      <c r="C72" s="6" t="inlineStr">
        <is>
          <t>BCV</t>
        </is>
      </c>
      <c r="D72" s="15" t="n">
        <v>46129</v>
      </c>
      <c r="E72" s="16" t="inlineStr">
        <is>
          <t>00949299</t>
        </is>
      </c>
      <c r="F72" s="18" t="inlineStr">
        <is>
          <t>DITEL NE 45786</t>
        </is>
      </c>
      <c r="G72" s="21" t="inlineStr">
        <is>
          <t>14.865,20</t>
        </is>
      </c>
      <c r="J72" t="inlineStr">
        <is>
          <t>45786</t>
        </is>
      </c>
      <c r="K72" s="12" t="inlineStr">
        <is>
          <t>8.2 — Pago de cuentas por pagar</t>
        </is>
      </c>
    </row>
    <row r="73">
      <c r="A73" s="6">
        <f>A72+1</f>
        <v/>
      </c>
      <c r="B73" t="inlineStr">
        <is>
          <t>Abril</t>
        </is>
      </c>
      <c r="C73" s="6" t="inlineStr">
        <is>
          <t>BCV</t>
        </is>
      </c>
      <c r="D73" s="15" t="n">
        <v>46129</v>
      </c>
      <c r="E73" s="16" t="inlineStr">
        <is>
          <t>00978598</t>
        </is>
      </c>
      <c r="F73" s="18" t="inlineStr">
        <is>
          <t>DTRAGOS.COM FACT 37</t>
        </is>
      </c>
      <c r="G73" s="21" t="inlineStr">
        <is>
          <t>30.960,46</t>
        </is>
      </c>
      <c r="J73" t="inlineStr">
        <is>
          <t>37</t>
        </is>
      </c>
      <c r="K73" s="12" t="inlineStr">
        <is>
          <t>2.1 — Compras de mercancía</t>
        </is>
      </c>
    </row>
    <row r="74">
      <c r="A74" s="6">
        <f>A73+1</f>
        <v/>
      </c>
      <c r="B74" t="inlineStr">
        <is>
          <t>Abril</t>
        </is>
      </c>
      <c r="C74" s="6" t="inlineStr">
        <is>
          <t>BCV</t>
        </is>
      </c>
      <c r="D74" s="15" t="n">
        <v>46129</v>
      </c>
      <c r="E74" s="16" t="inlineStr">
        <is>
          <t>00978598</t>
        </is>
      </c>
      <c r="F74" s="18" t="inlineStr">
        <is>
          <t>DTRAGOS.COM FACT 37</t>
        </is>
      </c>
      <c r="G74" s="21" t="inlineStr">
        <is>
          <t>30.960,46</t>
        </is>
      </c>
      <c r="J74" t="inlineStr">
        <is>
          <t>37</t>
        </is>
      </c>
      <c r="K74" t="inlineStr">
        <is>
          <t>2.1 — Compras de mercancía</t>
        </is>
      </c>
    </row>
    <row r="75">
      <c r="A75" s="6">
        <f>A74+1</f>
        <v/>
      </c>
      <c r="B75" t="inlineStr">
        <is>
          <t>Abril</t>
        </is>
      </c>
      <c r="C75" s="6" t="inlineStr">
        <is>
          <t>BCV</t>
        </is>
      </c>
      <c r="D75" s="15" t="n">
        <v>46129</v>
      </c>
      <c r="E75" s="16" t="inlineStr">
        <is>
          <t>76628173</t>
        </is>
      </c>
      <c r="F75" s="18" t="inlineStr">
        <is>
          <t>EXCELSIOR GAMA FACT 67203</t>
        </is>
      </c>
      <c r="G75" s="21" t="inlineStr">
        <is>
          <t>2.825,92</t>
        </is>
      </c>
      <c r="J75" t="inlineStr">
        <is>
          <t>67203</t>
        </is>
      </c>
      <c r="K75" t="inlineStr">
        <is>
          <t>8.2 — Pago de cuentas por pagar</t>
        </is>
      </c>
    </row>
    <row r="76">
      <c r="A76" s="6">
        <f>A75+1</f>
        <v/>
      </c>
      <c r="B76" t="inlineStr">
        <is>
          <t>Abril</t>
        </is>
      </c>
      <c r="C76" s="6" t="inlineStr">
        <is>
          <t>BCV</t>
        </is>
      </c>
      <c r="D76" s="15" t="n">
        <v>46129</v>
      </c>
      <c r="E76" s="16" t="inlineStr">
        <is>
          <t>00970790</t>
        </is>
      </c>
      <c r="F76" s="18" t="inlineStr">
        <is>
          <t>INV FLOR NACIENTE F9238 Y 9222</t>
        </is>
      </c>
      <c r="G76" s="21" t="inlineStr">
        <is>
          <t>19.075,23</t>
        </is>
      </c>
      <c r="J76" t="inlineStr">
        <is>
          <t>9238</t>
        </is>
      </c>
      <c r="K76" s="12" t="inlineStr">
        <is>
          <t>8.2 — Pago de cuentas por pagar</t>
        </is>
      </c>
    </row>
    <row r="77">
      <c r="A77" s="6">
        <f>A76+1</f>
        <v/>
      </c>
      <c r="B77" t="inlineStr">
        <is>
          <t>Abril</t>
        </is>
      </c>
      <c r="C77" s="6" t="inlineStr">
        <is>
          <t>BCV</t>
        </is>
      </c>
      <c r="D77" s="15" t="n">
        <v>46129</v>
      </c>
      <c r="E77" s="16" t="inlineStr">
        <is>
          <t>00949313</t>
        </is>
      </c>
      <c r="F77" s="18" t="inlineStr">
        <is>
          <t>INVERSIONES AGRO DELIVERY PH NE 475</t>
        </is>
      </c>
      <c r="G77" s="21" t="inlineStr">
        <is>
          <t>16.377,73</t>
        </is>
      </c>
      <c r="J77" t="inlineStr">
        <is>
          <t>475</t>
        </is>
      </c>
      <c r="K77" s="12" t="inlineStr">
        <is>
          <t>8.2 — Pago de cuentas por pagar</t>
        </is>
      </c>
    </row>
    <row r="78">
      <c r="A78" s="6">
        <f>A77+1</f>
        <v/>
      </c>
      <c r="B78" t="inlineStr">
        <is>
          <t>Abril</t>
        </is>
      </c>
      <c r="C78" s="6" t="inlineStr">
        <is>
          <t>BCV</t>
        </is>
      </c>
      <c r="D78" s="15" t="n">
        <v>46129</v>
      </c>
      <c r="E78" s="16" t="inlineStr">
        <is>
          <t>00949315</t>
        </is>
      </c>
      <c r="F78" s="18" t="inlineStr">
        <is>
          <t>INVERSIONES RAMOS 2030 FACT 912</t>
        </is>
      </c>
      <c r="G78" s="21" t="inlineStr">
        <is>
          <t>42.981,91</t>
        </is>
      </c>
      <c r="J78" t="inlineStr">
        <is>
          <t>912</t>
        </is>
      </c>
      <c r="K78" s="12" t="inlineStr">
        <is>
          <t>8.2 — Pago de cuentas por pagar</t>
        </is>
      </c>
    </row>
    <row r="79">
      <c r="A79" s="6">
        <f>A78+1</f>
        <v/>
      </c>
      <c r="B79" t="inlineStr">
        <is>
          <t>Abril</t>
        </is>
      </c>
      <c r="C79" s="6" t="inlineStr">
        <is>
          <t>BCV</t>
        </is>
      </c>
      <c r="D79" s="15" t="n">
        <v>46129</v>
      </c>
      <c r="E79" s="16" t="inlineStr">
        <is>
          <t>00983151</t>
        </is>
      </c>
      <c r="F79" s="18" t="inlineStr">
        <is>
          <t>TECNOLOGIA AGRICOLA SARTENEJAS F 2595</t>
        </is>
      </c>
      <c r="G79" s="21" t="inlineStr">
        <is>
          <t>13.969,24</t>
        </is>
      </c>
      <c r="J79" t="inlineStr">
        <is>
          <t>2595</t>
        </is>
      </c>
      <c r="K79" s="12" t="inlineStr">
        <is>
          <t>2.1 — Compras de mercancía</t>
        </is>
      </c>
    </row>
    <row r="80">
      <c r="A80" s="6">
        <f>A79+1</f>
        <v/>
      </c>
      <c r="B80" t="inlineStr">
        <is>
          <t>Abril</t>
        </is>
      </c>
      <c r="C80" s="6" t="inlineStr">
        <is>
          <t>BCV</t>
        </is>
      </c>
      <c r="D80" s="15" t="n">
        <v>46130</v>
      </c>
      <c r="E80" s="17" t="n">
        <v>826340</v>
      </c>
      <c r="F80" s="18" t="inlineStr">
        <is>
          <t>INVERSIONES LUVEBRAS</t>
        </is>
      </c>
      <c r="G80" s="22" t="n">
        <v>13070.75</v>
      </c>
      <c r="J80" t="inlineStr"/>
      <c r="K80" s="12" t="inlineStr">
        <is>
          <t>8.2 — Pago de cuentas por pagar</t>
        </is>
      </c>
    </row>
    <row r="81">
      <c r="A81" s="6">
        <f>A80+1</f>
        <v/>
      </c>
      <c r="B81" t="inlineStr">
        <is>
          <t>Abril</t>
        </is>
      </c>
      <c r="C81" s="6" t="inlineStr">
        <is>
          <t>BCV</t>
        </is>
      </c>
      <c r="D81" s="15" t="n">
        <v>46130</v>
      </c>
      <c r="E81" s="16" t="inlineStr">
        <is>
          <t>00246715</t>
        </is>
      </c>
      <c r="F81" s="18" t="inlineStr">
        <is>
          <t>MAURO REYES DELIVERY OFIMANIA</t>
        </is>
      </c>
      <c r="G81" s="21" t="inlineStr">
        <is>
          <t>2.507,50</t>
        </is>
      </c>
      <c r="J81" t="inlineStr"/>
      <c r="K81" s="12" t="inlineStr">
        <is>
          <t>4.7 — Deliveries Insumos</t>
        </is>
      </c>
    </row>
    <row r="82">
      <c r="A82" s="6">
        <f>A81+1</f>
        <v/>
      </c>
      <c r="B82" t="inlineStr">
        <is>
          <t>Abril</t>
        </is>
      </c>
      <c r="C82" s="6" t="inlineStr">
        <is>
          <t>BCV</t>
        </is>
      </c>
      <c r="D82" s="15" t="n">
        <v>46130</v>
      </c>
      <c r="E82" s="16" t="inlineStr">
        <is>
          <t>00246040</t>
        </is>
      </c>
      <c r="F82" s="18" t="inlineStr">
        <is>
          <t>PAPELERIA LA NUBE AZUL CARTULINAS</t>
        </is>
      </c>
      <c r="G82" s="21" t="inlineStr">
        <is>
          <t>9.912,62</t>
        </is>
      </c>
      <c r="J82" t="inlineStr"/>
      <c r="K82" t="inlineStr">
        <is>
          <t>4.1 — Gastos oficina</t>
        </is>
      </c>
    </row>
    <row r="83">
      <c r="A83" s="6">
        <f>A82+1</f>
        <v/>
      </c>
      <c r="B83" t="inlineStr">
        <is>
          <t>Abril</t>
        </is>
      </c>
      <c r="C83" s="6" t="inlineStr">
        <is>
          <t>BCV</t>
        </is>
      </c>
      <c r="D83" s="15" t="n">
        <v>46130.72986111111</v>
      </c>
      <c r="E83" s="17" t="n">
        <v>826340</v>
      </c>
      <c r="F83" s="18" t="inlineStr">
        <is>
          <t>INVERSIONES LUVEBRAS</t>
        </is>
      </c>
      <c r="G83" s="22" t="n">
        <v>13070.75</v>
      </c>
      <c r="J83" t="inlineStr"/>
      <c r="K83" t="inlineStr">
        <is>
          <t>8.2 — Pago de cuentas por pagar</t>
        </is>
      </c>
    </row>
    <row r="84">
      <c r="A84" s="6">
        <f>A83+1</f>
        <v/>
      </c>
      <c r="B84" t="inlineStr">
        <is>
          <t>Abril</t>
        </is>
      </c>
      <c r="C84" s="6" t="inlineStr">
        <is>
          <t>BCV</t>
        </is>
      </c>
      <c r="D84" s="15" t="n">
        <v>46132</v>
      </c>
      <c r="E84" s="16" t="inlineStr">
        <is>
          <t>00631282</t>
        </is>
      </c>
      <c r="F84" s="18" t="inlineStr">
        <is>
          <t>ANTHUAN HIGUERA PROP 14 AL 19 04 26</t>
        </is>
      </c>
      <c r="G84" s="21" t="inlineStr">
        <is>
          <t>1.509,18</t>
        </is>
      </c>
      <c r="J84" t="inlineStr"/>
      <c r="K84" t="inlineStr">
        <is>
          <t>8.1 — Bono 10% y Propinas por pagar al personal</t>
        </is>
      </c>
    </row>
    <row r="85">
      <c r="A85" s="6">
        <f>A84+1</f>
        <v/>
      </c>
      <c r="B85" t="inlineStr">
        <is>
          <t>Abril</t>
        </is>
      </c>
      <c r="C85" s="6" t="inlineStr">
        <is>
          <t>BCV</t>
        </is>
      </c>
      <c r="D85" s="15" t="n">
        <v>46132</v>
      </c>
      <c r="E85" s="16" t="inlineStr">
        <is>
          <t>00631287</t>
        </is>
      </c>
      <c r="F85" s="18" t="inlineStr">
        <is>
          <t>CARLOS PENA PROP 14 AL 19 04 26</t>
        </is>
      </c>
      <c r="G85" s="21" t="inlineStr">
        <is>
          <t>9.809,31</t>
        </is>
      </c>
      <c r="J85" t="inlineStr"/>
      <c r="K85" t="inlineStr">
        <is>
          <t>8.1 — Bono 10% y Propinas por pagar al personal</t>
        </is>
      </c>
    </row>
    <row r="86">
      <c r="A86" s="6">
        <f>A85+1</f>
        <v/>
      </c>
      <c r="B86" t="inlineStr">
        <is>
          <t>Abril</t>
        </is>
      </c>
      <c r="C86" s="6" t="inlineStr">
        <is>
          <t>BCV</t>
        </is>
      </c>
      <c r="D86" s="15" t="n">
        <v>46132</v>
      </c>
      <c r="E86" s="16" t="inlineStr">
        <is>
          <t>00635296</t>
        </is>
      </c>
      <c r="F86" s="18" t="inlineStr">
        <is>
          <t>CHEF WORKS ABONO COT 202627 69</t>
        </is>
      </c>
      <c r="G86" s="21" t="inlineStr">
        <is>
          <t>120.665,31</t>
        </is>
      </c>
      <c r="J86" t="inlineStr">
        <is>
          <t>202627</t>
        </is>
      </c>
      <c r="K86" t="inlineStr">
        <is>
          <t>5.6 — Compra activo fijo (CapEx)</t>
        </is>
      </c>
    </row>
    <row r="87">
      <c r="A87" s="6">
        <f>A86+1</f>
        <v/>
      </c>
      <c r="B87" t="inlineStr">
        <is>
          <t>Abril</t>
        </is>
      </c>
      <c r="C87" s="6" t="inlineStr">
        <is>
          <t>BCV</t>
        </is>
      </c>
      <c r="D87" s="15" t="n">
        <v>46132</v>
      </c>
      <c r="E87" s="16" t="inlineStr">
        <is>
          <t>00595825</t>
        </is>
      </c>
      <c r="F87" s="18" t="inlineStr">
        <is>
          <t>GLADYS MONTEGRO LIMPIEZA OFIC 210126</t>
        </is>
      </c>
      <c r="G87" s="21" t="inlineStr">
        <is>
          <t>10.030,00</t>
        </is>
      </c>
      <c r="J87" t="inlineStr"/>
      <c r="K87" t="inlineStr">
        <is>
          <t>3.13 — Aseo</t>
        </is>
      </c>
    </row>
    <row r="88">
      <c r="A88" s="6">
        <f>A87+1</f>
        <v/>
      </c>
      <c r="B88" t="inlineStr">
        <is>
          <t>Abril</t>
        </is>
      </c>
      <c r="C88" s="6" t="inlineStr">
        <is>
          <t>BCV</t>
        </is>
      </c>
      <c r="D88" s="15" t="n">
        <v>46132</v>
      </c>
      <c r="E88" s="16" t="inlineStr">
        <is>
          <t>00631280</t>
        </is>
      </c>
      <c r="F88" s="18" t="inlineStr">
        <is>
          <t>HILLARY PEREZ PROP 14 AL 19 04 26</t>
        </is>
      </c>
      <c r="G88" s="21" t="inlineStr">
        <is>
          <t>1.509,18</t>
        </is>
      </c>
      <c r="J88" t="inlineStr"/>
      <c r="K88" t="inlineStr">
        <is>
          <t>8.1 — Bono 10% y Propinas por pagar al personal</t>
        </is>
      </c>
    </row>
    <row r="89">
      <c r="A89" s="6">
        <f>A88+1</f>
        <v/>
      </c>
      <c r="B89" t="inlineStr">
        <is>
          <t>Abril</t>
        </is>
      </c>
      <c r="C89" s="6" t="inlineStr">
        <is>
          <t>BCV</t>
        </is>
      </c>
      <c r="D89" s="15" t="n">
        <v>46132</v>
      </c>
      <c r="E89" s="16" t="inlineStr">
        <is>
          <t>00632019</t>
        </is>
      </c>
      <c r="F89" s="18" t="inlineStr">
        <is>
          <t>JOSE L MONTEROLA TRANSP 1RA QNA ABRIL26</t>
        </is>
      </c>
      <c r="G89" s="21" t="inlineStr">
        <is>
          <t>123.166,55</t>
        </is>
      </c>
      <c r="J89" t="inlineStr"/>
      <c r="K89" s="12" t="inlineStr">
        <is>
          <t>3.5 — Transporte de Personal</t>
        </is>
      </c>
    </row>
    <row r="90">
      <c r="A90" s="6">
        <f>A89+1</f>
        <v/>
      </c>
      <c r="B90" t="inlineStr">
        <is>
          <t>Abril</t>
        </is>
      </c>
      <c r="C90" s="6" t="inlineStr">
        <is>
          <t>BCV</t>
        </is>
      </c>
      <c r="D90" s="15" t="n">
        <v>46132</v>
      </c>
      <c r="E90" s="16" t="inlineStr">
        <is>
          <t>00632026</t>
        </is>
      </c>
      <c r="F90" s="18" t="inlineStr">
        <is>
          <t>PIDELO 58 SEM 13 AL 19 04 26</t>
        </is>
      </c>
      <c r="G90" s="21" t="inlineStr">
        <is>
          <t>5.309,28</t>
        </is>
      </c>
      <c r="J90" t="inlineStr"/>
      <c r="K90" t="inlineStr">
        <is>
          <t>3.5 — Transporte de Personal</t>
        </is>
      </c>
    </row>
    <row r="91">
      <c r="A91" s="6">
        <f>A90+1</f>
        <v/>
      </c>
      <c r="B91" t="inlineStr">
        <is>
          <t>Abril</t>
        </is>
      </c>
      <c r="C91" s="6" t="inlineStr">
        <is>
          <t>BCV</t>
        </is>
      </c>
      <c r="D91" s="15" t="n">
        <v>46132</v>
      </c>
      <c r="E91" s="16" t="inlineStr">
        <is>
          <t>00631293</t>
        </is>
      </c>
      <c r="F91" s="18" t="inlineStr">
        <is>
          <t>ROSMER GUEVARA DIAS TRAB 14 AL 18 04 26</t>
        </is>
      </c>
      <c r="G91" s="21" t="inlineStr">
        <is>
          <t>18.723,00</t>
        </is>
      </c>
      <c r="J91" t="inlineStr"/>
      <c r="K91" s="12" t="inlineStr">
        <is>
          <t>3.1 — Sueldos</t>
        </is>
      </c>
    </row>
    <row r="92">
      <c r="A92" s="6">
        <f>A91+1</f>
        <v/>
      </c>
      <c r="B92" t="inlineStr">
        <is>
          <t>Abril</t>
        </is>
      </c>
      <c r="C92" s="6" t="inlineStr">
        <is>
          <t>BCV</t>
        </is>
      </c>
      <c r="D92" s="15" t="n">
        <v>46132</v>
      </c>
      <c r="E92" s="16" t="inlineStr">
        <is>
          <t>00631274</t>
        </is>
      </c>
      <c r="F92" s="18" t="inlineStr">
        <is>
          <t>ROSMER GUEVARA PROP 14 AL 19 04 26</t>
        </is>
      </c>
      <c r="G92" s="21" t="inlineStr">
        <is>
          <t>12.659,47</t>
        </is>
      </c>
      <c r="J92" t="inlineStr"/>
      <c r="K92" t="inlineStr">
        <is>
          <t>8.1 — Bono 10% y Propinas por pagar al personal</t>
        </is>
      </c>
    </row>
    <row r="93">
      <c r="A93" s="6">
        <f>A92+1</f>
        <v/>
      </c>
      <c r="B93" t="inlineStr">
        <is>
          <t>Abril</t>
        </is>
      </c>
      <c r="C93" s="6" t="inlineStr">
        <is>
          <t>BCV</t>
        </is>
      </c>
      <c r="D93" s="15" t="n">
        <v>46133</v>
      </c>
      <c r="E93" s="16" t="inlineStr">
        <is>
          <t>07402723</t>
        </is>
      </c>
      <c r="F93" s="18" t="inlineStr">
        <is>
          <t>ALIMENTOS FINQUERA NE 9547</t>
        </is>
      </c>
      <c r="G93" s="21" t="inlineStr">
        <is>
          <t>75.957,06</t>
        </is>
      </c>
      <c r="J93" t="inlineStr">
        <is>
          <t>9547</t>
        </is>
      </c>
      <c r="K93" t="inlineStr">
        <is>
          <t>8.2 — Pago de cuentas por pagar</t>
        </is>
      </c>
    </row>
    <row r="94">
      <c r="A94" s="6">
        <f>A93+1</f>
        <v/>
      </c>
      <c r="B94" t="inlineStr">
        <is>
          <t>Abril</t>
        </is>
      </c>
      <c r="C94" s="6" t="inlineStr">
        <is>
          <t>BCV</t>
        </is>
      </c>
      <c r="D94" s="15" t="n">
        <v>46133</v>
      </c>
      <c r="E94" s="16" t="inlineStr">
        <is>
          <t>00783046</t>
        </is>
      </c>
      <c r="F94" s="18" t="inlineStr">
        <is>
          <t>CAMPI FERRETERIA FACT 11445</t>
        </is>
      </c>
      <c r="G94" s="21" t="inlineStr">
        <is>
          <t>143.012,77</t>
        </is>
      </c>
      <c r="J94" t="inlineStr">
        <is>
          <t>11445</t>
        </is>
      </c>
      <c r="K94" s="12" t="inlineStr">
        <is>
          <t>4.10 — Mantenimiento</t>
        </is>
      </c>
    </row>
    <row r="95">
      <c r="A95" s="6">
        <f>A94+1</f>
        <v/>
      </c>
      <c r="B95" t="inlineStr">
        <is>
          <t>Abril</t>
        </is>
      </c>
      <c r="C95" s="6" t="inlineStr">
        <is>
          <t>BCV</t>
        </is>
      </c>
      <c r="D95" s="15" t="n">
        <v>46133</v>
      </c>
      <c r="E95" s="16" t="inlineStr">
        <is>
          <t>17919116</t>
        </is>
      </c>
      <c r="F95" s="18" t="inlineStr">
        <is>
          <t>CERVECERIA INDEPENDIENTE NE 1496 Y F4524</t>
        </is>
      </c>
      <c r="G95" s="21" t="inlineStr">
        <is>
          <t>139.905,10</t>
        </is>
      </c>
      <c r="J95" t="inlineStr">
        <is>
          <t>4524</t>
        </is>
      </c>
      <c r="K95" t="inlineStr">
        <is>
          <t>2.1 — Compras de mercancía</t>
        </is>
      </c>
    </row>
    <row r="96">
      <c r="A96" s="6">
        <f>A95+1</f>
        <v/>
      </c>
      <c r="B96" t="inlineStr">
        <is>
          <t>Abril</t>
        </is>
      </c>
      <c r="C96" s="6" t="inlineStr">
        <is>
          <t>BCV</t>
        </is>
      </c>
      <c r="D96" s="15" t="n">
        <v>46133</v>
      </c>
      <c r="E96" s="16" t="inlineStr">
        <is>
          <t>00832079</t>
        </is>
      </c>
      <c r="F96" s="18" t="inlineStr">
        <is>
          <t>COMERCIAL EL GUACHARO FACT 240104</t>
        </is>
      </c>
      <c r="G96" s="21" t="inlineStr">
        <is>
          <t>54.493,81</t>
        </is>
      </c>
      <c r="J96" t="inlineStr">
        <is>
          <t>240104</t>
        </is>
      </c>
      <c r="K96" t="inlineStr">
        <is>
          <t>8.2 — Pago de cuentas por pagar</t>
        </is>
      </c>
    </row>
    <row r="97">
      <c r="A97" s="6">
        <f>A96+1</f>
        <v/>
      </c>
      <c r="B97" t="inlineStr">
        <is>
          <t>Abril</t>
        </is>
      </c>
      <c r="C97" s="6" t="inlineStr">
        <is>
          <t>BCV</t>
        </is>
      </c>
      <c r="D97" s="15" t="n">
        <v>46133</v>
      </c>
      <c r="E97" s="16" t="inlineStr">
        <is>
          <t>60780917</t>
        </is>
      </c>
      <c r="F97" s="18" t="inlineStr">
        <is>
          <t>CORPORACION LA ENCANTADA FACT 1250</t>
        </is>
      </c>
      <c r="G97" s="21" t="inlineStr">
        <is>
          <t>14.183,22</t>
        </is>
      </c>
      <c r="J97" t="inlineStr">
        <is>
          <t>1250</t>
        </is>
      </c>
      <c r="K97" t="inlineStr">
        <is>
          <t>8.2 — Pago de cuentas por pagar</t>
        </is>
      </c>
    </row>
    <row r="98">
      <c r="A98" s="6">
        <f>A97+1</f>
        <v/>
      </c>
      <c r="B98" t="inlineStr">
        <is>
          <t>Abril</t>
        </is>
      </c>
      <c r="C98" s="6" t="inlineStr">
        <is>
          <t>BCV</t>
        </is>
      </c>
      <c r="D98" s="15" t="n">
        <v>46133</v>
      </c>
      <c r="E98" s="16" t="inlineStr">
        <is>
          <t>TD</t>
        </is>
      </c>
      <c r="F98" s="18" t="inlineStr">
        <is>
          <t>INVERSIONES LUVEBRAS</t>
        </is>
      </c>
      <c r="G98" s="23" t="n">
        <v>19650.45</v>
      </c>
      <c r="J98" t="inlineStr"/>
      <c r="K98" s="12" t="inlineStr">
        <is>
          <t>8.2 — Pago de cuentas por pagar</t>
        </is>
      </c>
    </row>
    <row r="99">
      <c r="A99" s="6">
        <f>A98+1</f>
        <v/>
      </c>
      <c r="B99" t="inlineStr">
        <is>
          <t>Abril</t>
        </is>
      </c>
      <c r="C99" s="6" t="inlineStr">
        <is>
          <t>BCV</t>
        </is>
      </c>
      <c r="D99" s="15" t="n">
        <v>46133</v>
      </c>
      <c r="E99" s="16" t="inlineStr">
        <is>
          <t>00786021</t>
        </is>
      </c>
      <c r="F99" s="18" t="inlineStr">
        <is>
          <t>INVERSIONES RAMALE 2013 NE 216</t>
        </is>
      </c>
      <c r="G99" s="21" t="inlineStr">
        <is>
          <t>51.131,12</t>
        </is>
      </c>
      <c r="J99" t="inlineStr">
        <is>
          <t>216</t>
        </is>
      </c>
      <c r="K99" s="12" t="inlineStr">
        <is>
          <t>8.2 — Pago de cuentas por pagar</t>
        </is>
      </c>
    </row>
    <row r="100">
      <c r="A100" s="6">
        <f>A99+1</f>
        <v/>
      </c>
      <c r="B100" t="inlineStr">
        <is>
          <t>Abril</t>
        </is>
      </c>
      <c r="C100" s="6" t="inlineStr">
        <is>
          <t>BCV</t>
        </is>
      </c>
      <c r="D100" s="15" t="n">
        <v>46133</v>
      </c>
      <c r="E100" s="16" t="inlineStr">
        <is>
          <t>00832083</t>
        </is>
      </c>
      <c r="F100" s="18" t="inlineStr">
        <is>
          <t>JUAN C DIAZ FACT 6880</t>
        </is>
      </c>
      <c r="G100" s="21" t="inlineStr">
        <is>
          <t>17.634,80</t>
        </is>
      </c>
      <c r="J100" t="inlineStr">
        <is>
          <t>6880</t>
        </is>
      </c>
      <c r="K100" s="12" t="inlineStr">
        <is>
          <t>8.2 — Pago de cuentas por pagar</t>
        </is>
      </c>
    </row>
    <row r="101">
      <c r="A101" s="6">
        <f>A100+1</f>
        <v/>
      </c>
      <c r="B101" t="inlineStr">
        <is>
          <t>Abril</t>
        </is>
      </c>
      <c r="C101" s="6" t="inlineStr">
        <is>
          <t>BCV</t>
        </is>
      </c>
      <c r="D101" s="15" t="n">
        <v>46133</v>
      </c>
      <c r="E101" s="16" t="inlineStr">
        <is>
          <t>00786020</t>
        </is>
      </c>
      <c r="F101" s="18" t="inlineStr">
        <is>
          <t>JUAN REVELLO NE 4304</t>
        </is>
      </c>
      <c r="G101" s="21" t="inlineStr">
        <is>
          <t>43.057,80</t>
        </is>
      </c>
      <c r="J101" t="inlineStr">
        <is>
          <t>4304</t>
        </is>
      </c>
      <c r="K101" t="inlineStr">
        <is>
          <t>2.1 — Compras de mercancía</t>
        </is>
      </c>
    </row>
    <row r="102">
      <c r="A102" s="6">
        <f>A101+1</f>
        <v/>
      </c>
      <c r="B102" t="inlineStr">
        <is>
          <t>Abril</t>
        </is>
      </c>
      <c r="C102" s="6" t="inlineStr">
        <is>
          <t>BCV</t>
        </is>
      </c>
      <c r="D102" s="15" t="n">
        <v>46133</v>
      </c>
      <c r="E102" s="16" t="inlineStr">
        <is>
          <t>00782244</t>
        </is>
      </c>
      <c r="F102" s="18" t="inlineStr">
        <is>
          <t>MULTISERVICIOS AP 2013 ABONO F322</t>
        </is>
      </c>
      <c r="G102" s="21" t="inlineStr">
        <is>
          <t>20.360,90</t>
        </is>
      </c>
      <c r="J102" t="inlineStr">
        <is>
          <t>322</t>
        </is>
      </c>
      <c r="K102" t="inlineStr">
        <is>
          <t>4.6 — Otros Insumos generales y compartidos</t>
        </is>
      </c>
    </row>
    <row r="103">
      <c r="A103" s="6">
        <f>A102+1</f>
        <v/>
      </c>
      <c r="B103" t="inlineStr">
        <is>
          <t>Abril</t>
        </is>
      </c>
      <c r="C103" s="6" t="inlineStr">
        <is>
          <t>BCV</t>
        </is>
      </c>
      <c r="D103" s="15" t="n">
        <v>46133</v>
      </c>
      <c r="E103" s="16" t="inlineStr">
        <is>
          <t>00786016</t>
        </is>
      </c>
      <c r="F103" s="18" t="inlineStr">
        <is>
          <t>TECNOLOGIA AGRICOLA SARTENEJAS NE 260426</t>
        </is>
      </c>
      <c r="G103" s="21" t="inlineStr">
        <is>
          <t>14.494,32</t>
        </is>
      </c>
      <c r="J103" t="inlineStr">
        <is>
          <t>260426</t>
        </is>
      </c>
      <c r="K103" s="12" t="inlineStr">
        <is>
          <t>2.1 — Compras de mercancía</t>
        </is>
      </c>
    </row>
    <row r="104">
      <c r="A104" s="6">
        <f>A103+1</f>
        <v/>
      </c>
      <c r="B104" t="inlineStr">
        <is>
          <t>Abril</t>
        </is>
      </c>
      <c r="C104" s="6" t="inlineStr">
        <is>
          <t>BCV</t>
        </is>
      </c>
      <c r="D104" s="15" t="n">
        <v>46133</v>
      </c>
      <c r="E104" s="16" t="inlineStr">
        <is>
          <t>00817576</t>
        </is>
      </c>
      <c r="F104" s="18" t="inlineStr">
        <is>
          <t>YOFRAN SABINO PRESTAMO</t>
        </is>
      </c>
      <c r="G104" s="21" t="inlineStr">
        <is>
          <t>24.157,26</t>
        </is>
      </c>
      <c r="J104" t="inlineStr"/>
      <c r="K104" t="inlineStr">
        <is>
          <t>9.1 — Préstamos al personal</t>
        </is>
      </c>
    </row>
    <row r="105">
      <c r="A105" s="6">
        <f>A104+1</f>
        <v/>
      </c>
      <c r="B105" t="inlineStr">
        <is>
          <t>Abril</t>
        </is>
      </c>
      <c r="C105" s="6" t="inlineStr">
        <is>
          <t>BCV</t>
        </is>
      </c>
      <c r="D105" s="15" t="n">
        <v>46134</v>
      </c>
      <c r="E105" s="16" t="inlineStr">
        <is>
          <t>TD</t>
        </is>
      </c>
      <c r="F105" s="18" t="inlineStr">
        <is>
          <t>EXCELSIOR GAMA FACT 41597</t>
        </is>
      </c>
      <c r="G105" s="21" t="n">
        <v>12521.63</v>
      </c>
      <c r="J105" t="inlineStr">
        <is>
          <t>41597</t>
        </is>
      </c>
      <c r="K105" t="inlineStr">
        <is>
          <t>8.2 — Pago de cuentas por pagar</t>
        </is>
      </c>
    </row>
    <row r="106">
      <c r="A106" s="6">
        <f>A105+1</f>
        <v/>
      </c>
      <c r="B106" t="inlineStr">
        <is>
          <t>Abril</t>
        </is>
      </c>
      <c r="C106" s="6" t="inlineStr">
        <is>
          <t>BCV</t>
        </is>
      </c>
      <c r="D106" s="15" t="n">
        <v>46135</v>
      </c>
      <c r="E106" s="16" t="inlineStr">
        <is>
          <t>00279435</t>
        </is>
      </c>
      <c r="F106" s="18" t="inlineStr">
        <is>
          <t>EGUI CASTELLANOS PMTO</t>
        </is>
      </c>
      <c r="G106" s="21" t="inlineStr">
        <is>
          <t>10.030,00</t>
        </is>
      </c>
      <c r="J106" t="inlineStr"/>
      <c r="K106" s="12" t="inlineStr">
        <is>
          <t>9.3 — Anticipos de nómina</t>
        </is>
      </c>
    </row>
    <row r="107">
      <c r="A107" s="6">
        <f>A106+1</f>
        <v/>
      </c>
      <c r="B107" t="inlineStr">
        <is>
          <t>Abril</t>
        </is>
      </c>
      <c r="C107" s="6" t="inlineStr">
        <is>
          <t>BCV</t>
        </is>
      </c>
      <c r="D107" s="15" t="n">
        <v>46135</v>
      </c>
      <c r="E107" s="16" t="inlineStr">
        <is>
          <t>44011485</t>
        </is>
      </c>
      <c r="F107" s="18" t="inlineStr">
        <is>
          <t>REDIELECA F10828 Y 10829</t>
        </is>
      </c>
      <c r="G107" s="21" t="inlineStr">
        <is>
          <t>16.309,88</t>
        </is>
      </c>
      <c r="J107" t="inlineStr">
        <is>
          <t>10828</t>
        </is>
      </c>
      <c r="K107" t="inlineStr">
        <is>
          <t>5.6 — Compra activo fijo (CapEx)</t>
        </is>
      </c>
    </row>
    <row r="108">
      <c r="A108" s="6">
        <f>A107+1</f>
        <v/>
      </c>
      <c r="B108" t="inlineStr">
        <is>
          <t>Abril</t>
        </is>
      </c>
      <c r="C108" s="6" t="inlineStr">
        <is>
          <t>BCV</t>
        </is>
      </c>
      <c r="D108" s="15" t="n">
        <v>46135</v>
      </c>
      <c r="E108" s="16" t="inlineStr">
        <is>
          <t>00250023</t>
        </is>
      </c>
      <c r="F108" s="18" t="inlineStr">
        <is>
          <t>YORVIN A MOTA FACT 32</t>
        </is>
      </c>
      <c r="G108" s="21" t="inlineStr">
        <is>
          <t>13.089,27</t>
        </is>
      </c>
      <c r="J108" t="inlineStr">
        <is>
          <t>32</t>
        </is>
      </c>
      <c r="K108" t="inlineStr">
        <is>
          <t>8.2 — Pago de cuentas por pagar</t>
        </is>
      </c>
    </row>
    <row r="109">
      <c r="A109" s="6">
        <f>A108+1</f>
        <v/>
      </c>
      <c r="B109" t="inlineStr">
        <is>
          <t>Abril</t>
        </is>
      </c>
      <c r="C109" s="6" t="inlineStr">
        <is>
          <t>BCV</t>
        </is>
      </c>
      <c r="D109" s="15" t="n">
        <v>46135</v>
      </c>
      <c r="E109" s="16" t="inlineStr">
        <is>
          <t>TD</t>
        </is>
      </c>
      <c r="F109" s="18" t="inlineStr">
        <is>
          <t>INVERSIONES LUVEBRAS FACT 130632</t>
        </is>
      </c>
      <c r="G109" s="21" t="n">
        <v>5186.24</v>
      </c>
      <c r="J109" t="inlineStr">
        <is>
          <t>130632</t>
        </is>
      </c>
      <c r="K109" s="12" t="inlineStr">
        <is>
          <t>8.2 — Pago de cuentas por pagar</t>
        </is>
      </c>
    </row>
    <row r="110">
      <c r="A110" s="6">
        <f>A109+1</f>
        <v/>
      </c>
      <c r="B110" t="inlineStr">
        <is>
          <t>Abril</t>
        </is>
      </c>
      <c r="C110" s="6" t="inlineStr">
        <is>
          <t>BCV</t>
        </is>
      </c>
      <c r="D110" s="15" t="n">
        <v>46136</v>
      </c>
      <c r="E110" s="17" t="n">
        <v>292337</v>
      </c>
      <c r="F110" s="18" t="inlineStr">
        <is>
          <t>CERRAJERIA EL MARQUES CIL</t>
        </is>
      </c>
      <c r="G110" s="22" t="n">
        <v>22673.74</v>
      </c>
      <c r="J110" t="inlineStr"/>
      <c r="K110" s="12" t="inlineStr">
        <is>
          <t>4.10 — Mantenimiento</t>
        </is>
      </c>
    </row>
    <row r="111">
      <c r="A111" s="6">
        <f>A110+1</f>
        <v/>
      </c>
      <c r="B111" t="inlineStr">
        <is>
          <t>Abril</t>
        </is>
      </c>
      <c r="C111" s="6" t="inlineStr">
        <is>
          <t>BCV</t>
        </is>
      </c>
      <c r="D111" s="15" t="n">
        <v>46136</v>
      </c>
      <c r="E111" s="16" t="inlineStr">
        <is>
          <t>00371497</t>
        </is>
      </c>
      <c r="F111" s="18" t="inlineStr">
        <is>
          <t>COMERCIALIZADORA ARINVE MANOCO</t>
        </is>
      </c>
      <c r="G111" s="21" t="inlineStr">
        <is>
          <t>3.397,18</t>
        </is>
      </c>
      <c r="J111" t="inlineStr"/>
      <c r="K111" t="inlineStr">
        <is>
          <t>2.1 — Compras de mercancía</t>
        </is>
      </c>
    </row>
    <row r="112">
      <c r="A112" s="6">
        <f>A111+1</f>
        <v/>
      </c>
      <c r="B112" t="inlineStr">
        <is>
          <t>Abril</t>
        </is>
      </c>
      <c r="C112" s="6" t="inlineStr">
        <is>
          <t>BCV</t>
        </is>
      </c>
      <c r="D112" s="15" t="n">
        <v>46136</v>
      </c>
      <c r="E112" s="16" t="inlineStr">
        <is>
          <t>TD</t>
        </is>
      </c>
      <c r="F112" s="18" t="inlineStr">
        <is>
          <t>INSIDE MARKET FACT 42171</t>
        </is>
      </c>
      <c r="G112" s="21" t="n">
        <v>53122.38</v>
      </c>
      <c r="J112" t="inlineStr">
        <is>
          <t>42171</t>
        </is>
      </c>
      <c r="K112" s="12" t="inlineStr">
        <is>
          <t>2.1 — Compras de mercancía</t>
        </is>
      </c>
    </row>
    <row r="113">
      <c r="A113" s="6">
        <f>A112+1</f>
        <v/>
      </c>
      <c r="B113" t="inlineStr">
        <is>
          <t>Abril</t>
        </is>
      </c>
      <c r="C113" s="6" t="inlineStr">
        <is>
          <t>BCV</t>
        </is>
      </c>
      <c r="D113" s="15" t="n">
        <v>46136</v>
      </c>
      <c r="E113" s="16" t="inlineStr">
        <is>
          <t>TD</t>
        </is>
      </c>
      <c r="F113" s="18" t="inlineStr">
        <is>
          <t>INVERSIONES LUVEBRAS FACT 76465</t>
        </is>
      </c>
      <c r="G113" s="21" t="n">
        <v>11230.75</v>
      </c>
      <c r="J113" t="inlineStr">
        <is>
          <t>76465</t>
        </is>
      </c>
      <c r="K113" s="12" t="inlineStr">
        <is>
          <t>8.2 — Pago de cuentas por pagar</t>
        </is>
      </c>
    </row>
    <row r="114">
      <c r="A114" s="6">
        <f>A113+1</f>
        <v/>
      </c>
      <c r="B114" t="inlineStr">
        <is>
          <t>Abril</t>
        </is>
      </c>
      <c r="C114" s="6" t="inlineStr">
        <is>
          <t>BCV</t>
        </is>
      </c>
      <c r="D114" s="15" t="n">
        <v>46137</v>
      </c>
      <c r="E114" s="17" t="n">
        <v>337197</v>
      </c>
      <c r="F114" s="18" t="inlineStr">
        <is>
          <t>111742 vyv</t>
        </is>
      </c>
      <c r="G114" s="22" t="n">
        <v>1137.78</v>
      </c>
      <c r="J114" t="inlineStr"/>
      <c r="K114" s="12" t="inlineStr">
        <is>
          <t>99 — POR DETERMINAR</t>
        </is>
      </c>
    </row>
    <row r="115">
      <c r="A115" s="6">
        <f>A114+1</f>
        <v/>
      </c>
      <c r="B115" t="inlineStr">
        <is>
          <t>Abril</t>
        </is>
      </c>
      <c r="C115" s="6" t="inlineStr">
        <is>
          <t>BCV</t>
        </is>
      </c>
      <c r="D115" s="15" t="n">
        <v>46137</v>
      </c>
      <c r="E115" s="17" t="n">
        <v>395444</v>
      </c>
      <c r="F115" s="18" t="inlineStr">
        <is>
          <t>111751 vyv</t>
        </is>
      </c>
      <c r="G115" s="22" t="n">
        <v>1283.5</v>
      </c>
      <c r="J115" t="inlineStr"/>
      <c r="K115" s="12" t="inlineStr">
        <is>
          <t>99 — POR DETERMINAR</t>
        </is>
      </c>
    </row>
    <row r="116">
      <c r="A116" s="6">
        <f>A115+1</f>
        <v/>
      </c>
      <c r="B116" t="inlineStr">
        <is>
          <t>Abril</t>
        </is>
      </c>
      <c r="C116" s="6" t="inlineStr">
        <is>
          <t>BCV</t>
        </is>
      </c>
      <c r="D116" s="15" t="n">
        <v>46137</v>
      </c>
      <c r="E116" s="16" t="inlineStr">
        <is>
          <t>00635140</t>
        </is>
      </c>
      <c r="F116" s="18" t="inlineStr">
        <is>
          <t>ALIMENTOS VANDAL NE 262</t>
        </is>
      </c>
      <c r="G116" s="21" t="inlineStr">
        <is>
          <t>7.040,10</t>
        </is>
      </c>
      <c r="J116" t="inlineStr">
        <is>
          <t>262</t>
        </is>
      </c>
      <c r="K116" s="12" t="inlineStr">
        <is>
          <t>8.2 — Pago de cuentas por pagar</t>
        </is>
      </c>
    </row>
    <row r="117">
      <c r="A117" s="6">
        <f>A116+1</f>
        <v/>
      </c>
      <c r="B117" t="inlineStr">
        <is>
          <t>Abril</t>
        </is>
      </c>
      <c r="C117" s="6" t="inlineStr">
        <is>
          <t>BCV</t>
        </is>
      </c>
      <c r="D117" s="15" t="n">
        <v>46139</v>
      </c>
      <c r="E117" s="16" t="inlineStr">
        <is>
          <t>00046068</t>
        </is>
      </c>
      <c r="F117" s="18" t="inlineStr">
        <is>
          <t>CARLOS PENA 17 AL 25 04 26</t>
        </is>
      </c>
      <c r="G117" s="21" t="inlineStr">
        <is>
          <t>68.292,26</t>
        </is>
      </c>
      <c r="J117" t="inlineStr"/>
      <c r="K117" s="12" t="inlineStr">
        <is>
          <t>3.1 — Sueldos</t>
        </is>
      </c>
    </row>
    <row r="118">
      <c r="A118" s="6">
        <f>A117+1</f>
        <v/>
      </c>
      <c r="B118" t="inlineStr">
        <is>
          <t>Abril</t>
        </is>
      </c>
      <c r="C118" s="6" t="inlineStr">
        <is>
          <t>BCV</t>
        </is>
      </c>
      <c r="D118" s="15" t="n">
        <v>46139</v>
      </c>
      <c r="E118" s="17" t="n">
        <v>516795</v>
      </c>
      <c r="F118" s="18" t="inlineStr">
        <is>
          <t>CERRAJERIA HENRIQUEZ CERR</t>
        </is>
      </c>
      <c r="G118" s="22" t="n">
        <v>65251.37</v>
      </c>
      <c r="J118" t="inlineStr"/>
      <c r="K118" s="12" t="inlineStr">
        <is>
          <t>4.10 — Mantenimiento</t>
        </is>
      </c>
    </row>
    <row r="119">
      <c r="A119" s="6">
        <f>A118+1</f>
        <v/>
      </c>
      <c r="B119" t="inlineStr">
        <is>
          <t>Abril</t>
        </is>
      </c>
      <c r="C119" s="6" t="inlineStr">
        <is>
          <t>BCV</t>
        </is>
      </c>
      <c r="D119" s="15" t="n">
        <v>46139</v>
      </c>
      <c r="E119" s="16" t="inlineStr">
        <is>
          <t>00067560</t>
        </is>
      </c>
      <c r="F119" s="18" t="inlineStr">
        <is>
          <t>HARRY RIVERO BISCUYE</t>
        </is>
      </c>
      <c r="G119" s="21" t="inlineStr">
        <is>
          <t>17.073,16</t>
        </is>
      </c>
      <c r="J119" t="inlineStr"/>
      <c r="K119" s="12" t="inlineStr">
        <is>
          <t>8.2 — Pago de cuentas por pagar</t>
        </is>
      </c>
    </row>
    <row r="120">
      <c r="A120" s="6">
        <f>A119+1</f>
        <v/>
      </c>
      <c r="B120" t="inlineStr">
        <is>
          <t>Abril</t>
        </is>
      </c>
      <c r="C120" s="6" t="inlineStr">
        <is>
          <t>BCV</t>
        </is>
      </c>
      <c r="D120" s="15" t="n">
        <v>46139</v>
      </c>
      <c r="E120" s="16" t="inlineStr">
        <is>
          <t>29108004</t>
        </is>
      </c>
      <c r="F120" s="18" t="inlineStr">
        <is>
          <t>INVERSIONES LUVEBRAS FACT 76500</t>
        </is>
      </c>
      <c r="G120" s="21" t="inlineStr">
        <is>
          <t>4.423,23</t>
        </is>
      </c>
      <c r="J120" t="inlineStr">
        <is>
          <t>76500</t>
        </is>
      </c>
      <c r="K120" s="12" t="inlineStr">
        <is>
          <t>8.2 — Pago de cuentas por pagar</t>
        </is>
      </c>
    </row>
    <row r="121">
      <c r="A121" s="6">
        <f>A120+1</f>
        <v/>
      </c>
      <c r="B121" t="inlineStr">
        <is>
          <t>Abril</t>
        </is>
      </c>
      <c r="C121" s="6" t="inlineStr">
        <is>
          <t>BCV</t>
        </is>
      </c>
      <c r="D121" s="15" t="n">
        <v>46139</v>
      </c>
      <c r="E121" s="17" t="n">
        <v>516563</v>
      </c>
      <c r="F121" s="18" t="inlineStr">
        <is>
          <t>ORLANDO CASTRO CARGADOR</t>
        </is>
      </c>
      <c r="G121" s="22" t="n">
        <v>17000</v>
      </c>
      <c r="J121" t="inlineStr"/>
      <c r="K121" s="12" t="inlineStr">
        <is>
          <t>4.10 — Mantenimiento</t>
        </is>
      </c>
    </row>
    <row r="122">
      <c r="A122" s="6">
        <f>A121+1</f>
        <v/>
      </c>
      <c r="B122" t="inlineStr">
        <is>
          <t>Abril</t>
        </is>
      </c>
      <c r="C122" s="6" t="inlineStr">
        <is>
          <t>BCV</t>
        </is>
      </c>
      <c r="D122" s="15" t="n">
        <v>46140</v>
      </c>
      <c r="E122" s="16" t="inlineStr">
        <is>
          <t>00199351</t>
        </is>
      </c>
      <c r="F122" s="19" t="inlineStr">
        <is>
          <t>ANTHUAN HIGUERA PROP 20 AL 26 4 26</t>
        </is>
      </c>
      <c r="G122" s="21" t="inlineStr">
        <is>
          <t>19.810,33</t>
        </is>
      </c>
      <c r="J122" t="inlineStr"/>
      <c r="K122" t="inlineStr">
        <is>
          <t>8.1 — Bono 10% y Propinas por pagar al personal</t>
        </is>
      </c>
    </row>
    <row r="123">
      <c r="A123" s="6">
        <f>A122+1</f>
        <v/>
      </c>
      <c r="B123" t="inlineStr">
        <is>
          <t>Abril</t>
        </is>
      </c>
      <c r="C123" s="6" t="inlineStr">
        <is>
          <t>BCV</t>
        </is>
      </c>
      <c r="D123" s="15" t="n">
        <v>46140</v>
      </c>
      <c r="E123" s="16" t="inlineStr">
        <is>
          <t>00199358</t>
        </is>
      </c>
      <c r="F123" s="19" t="inlineStr">
        <is>
          <t>HILLARY PEREZ PROPI 20 AL 26 04 26</t>
        </is>
      </c>
      <c r="G123" s="21" t="inlineStr">
        <is>
          <t>19.810,33</t>
        </is>
      </c>
      <c r="J123" t="inlineStr"/>
      <c r="K123" s="12" t="inlineStr">
        <is>
          <t>8.1 — Bono 10% y Propinas por pagar al personal</t>
        </is>
      </c>
    </row>
    <row r="124">
      <c r="A124" s="6">
        <f>A123+1</f>
        <v/>
      </c>
      <c r="B124" t="inlineStr">
        <is>
          <t>Abril</t>
        </is>
      </c>
      <c r="C124" s="6" t="inlineStr">
        <is>
          <t>BCV</t>
        </is>
      </c>
      <c r="D124" s="15" t="n">
        <v>46140</v>
      </c>
      <c r="E124" s="16" t="inlineStr">
        <is>
          <t>00199361</t>
        </is>
      </c>
      <c r="F124" s="19" t="inlineStr">
        <is>
          <t>CARLOS PENA PROP 20 AL 26 04 26</t>
        </is>
      </c>
      <c r="G124" s="21" t="inlineStr">
        <is>
          <t>26.413,77</t>
        </is>
      </c>
      <c r="J124" t="inlineStr"/>
      <c r="K124" t="inlineStr">
        <is>
          <t>8.1 — Bono 10% y Propinas por pagar al personal</t>
        </is>
      </c>
    </row>
    <row r="125">
      <c r="A125" s="6">
        <f>A124+1</f>
        <v/>
      </c>
      <c r="B125" t="inlineStr">
        <is>
          <t>Abril</t>
        </is>
      </c>
      <c r="C125" s="6" t="inlineStr">
        <is>
          <t>BCV</t>
        </is>
      </c>
      <c r="D125" s="15" t="n">
        <v>46140</v>
      </c>
      <c r="E125" s="16" t="inlineStr">
        <is>
          <t>00199366</t>
        </is>
      </c>
      <c r="F125" s="19" t="inlineStr">
        <is>
          <t>SILVIO INAGA PROP 20 AL 26 04 26</t>
        </is>
      </c>
      <c r="G125" s="21" t="inlineStr">
        <is>
          <t>19.810,33</t>
        </is>
      </c>
      <c r="J125" t="inlineStr"/>
      <c r="K125" s="12" t="inlineStr">
        <is>
          <t>8.1 — Bono 10% y Propinas por pagar al personal</t>
        </is>
      </c>
    </row>
    <row r="126">
      <c r="A126" s="6">
        <f>A125+1</f>
        <v/>
      </c>
      <c r="B126" t="inlineStr">
        <is>
          <t>Abril</t>
        </is>
      </c>
      <c r="C126" s="6" t="inlineStr">
        <is>
          <t>BCV</t>
        </is>
      </c>
      <c r="D126" s="15" t="n">
        <v>46140</v>
      </c>
      <c r="E126" s="16" t="inlineStr">
        <is>
          <t>00199368</t>
        </is>
      </c>
      <c r="F126" s="19" t="inlineStr">
        <is>
          <t>ANGELICA RONDON PROP 20 AL 26 04 26</t>
        </is>
      </c>
      <c r="G126" s="21" t="inlineStr">
        <is>
          <t>19.810,33</t>
        </is>
      </c>
      <c r="J126" t="inlineStr"/>
      <c r="K126" s="12" t="inlineStr">
        <is>
          <t>8.1 — Bono 10% y Propinas por pagar al personal</t>
        </is>
      </c>
    </row>
    <row r="127">
      <c r="A127" s="6">
        <f>A126+1</f>
        <v/>
      </c>
      <c r="B127" t="inlineStr">
        <is>
          <t>Abril</t>
        </is>
      </c>
      <c r="C127" s="6" t="inlineStr">
        <is>
          <t>BCV</t>
        </is>
      </c>
      <c r="D127" s="15" t="n">
        <v>46140</v>
      </c>
      <c r="E127" s="16" t="inlineStr">
        <is>
          <t>00199373</t>
        </is>
      </c>
      <c r="F127" s="19" t="inlineStr">
        <is>
          <t>LUIS PARADA PROP 20 AL 26 04 26</t>
        </is>
      </c>
      <c r="G127" s="21" t="inlineStr">
        <is>
          <t>11.489,45</t>
        </is>
      </c>
      <c r="J127" t="inlineStr"/>
      <c r="K127" s="12" t="inlineStr">
        <is>
          <t>8.1 — Bono 10% y Propinas por pagar al personal</t>
        </is>
      </c>
    </row>
    <row r="128">
      <c r="A128" s="6">
        <f>A127+1</f>
        <v/>
      </c>
      <c r="B128" t="inlineStr">
        <is>
          <t>Abril</t>
        </is>
      </c>
      <c r="C128" s="6" t="inlineStr">
        <is>
          <t>BCV</t>
        </is>
      </c>
      <c r="D128" s="15" t="n">
        <v>46140</v>
      </c>
      <c r="E128" s="16" t="inlineStr">
        <is>
          <t>00201120</t>
        </is>
      </c>
      <c r="F128" s="19" t="inlineStr">
        <is>
          <t>PIDELO 58 SEM 20 AL 26 04 26</t>
        </is>
      </c>
      <c r="G128" s="21" t="inlineStr">
        <is>
          <t>1.703,38</t>
        </is>
      </c>
      <c r="J128" t="inlineStr"/>
      <c r="K128" s="12" t="inlineStr">
        <is>
          <t>3.5 — Transporte de Personal</t>
        </is>
      </c>
    </row>
    <row r="129">
      <c r="A129" s="6">
        <f>A128+1</f>
        <v/>
      </c>
      <c r="B129" t="inlineStr">
        <is>
          <t>Abril</t>
        </is>
      </c>
      <c r="C129" s="6" t="inlineStr">
        <is>
          <t>BCV</t>
        </is>
      </c>
      <c r="D129" s="15" t="n">
        <v>46140</v>
      </c>
      <c r="E129" s="16" t="inlineStr">
        <is>
          <t>18830635</t>
        </is>
      </c>
      <c r="F129" s="19" t="inlineStr">
        <is>
          <t>JORGE CANABAL BONO ALIM SDA QNA ABRIL26</t>
        </is>
      </c>
      <c r="G129" s="21" t="inlineStr">
        <is>
          <t>11.402,00</t>
        </is>
      </c>
      <c r="J129" t="inlineStr"/>
      <c r="K129" s="12" t="inlineStr">
        <is>
          <t>3.1 — Sueldos</t>
        </is>
      </c>
    </row>
    <row r="130">
      <c r="A130" s="6">
        <f>A129+1</f>
        <v/>
      </c>
      <c r="B130" t="inlineStr">
        <is>
          <t>Abril</t>
        </is>
      </c>
      <c r="C130" s="6" t="inlineStr">
        <is>
          <t>BCV</t>
        </is>
      </c>
      <c r="D130" s="15" t="n">
        <v>46140</v>
      </c>
      <c r="E130" s="16" t="inlineStr">
        <is>
          <t>81563302</t>
        </is>
      </c>
      <c r="F130" s="19" t="inlineStr">
        <is>
          <t>JORGE CANABAL SDA QNA ABRIL26</t>
        </is>
      </c>
      <c r="G130" s="21" t="inlineStr">
        <is>
          <t>49.248,27</t>
        </is>
      </c>
      <c r="J130" t="inlineStr"/>
      <c r="K130" t="inlineStr">
        <is>
          <t>3.1 — Sueldos</t>
        </is>
      </c>
    </row>
    <row r="131">
      <c r="A131" s="6">
        <f>A130+1</f>
        <v/>
      </c>
      <c r="B131" t="inlineStr">
        <is>
          <t>Abril</t>
        </is>
      </c>
      <c r="C131" s="6" t="inlineStr">
        <is>
          <t>BCV</t>
        </is>
      </c>
      <c r="D131" s="15" t="n">
        <v>46141</v>
      </c>
      <c r="E131" s="16" t="inlineStr">
        <is>
          <t>00448655</t>
        </is>
      </c>
      <c r="F131" s="19" t="inlineStr">
        <is>
          <t>INVERSIONES EMS 85 FACT 215</t>
        </is>
      </c>
      <c r="G131" s="21" t="inlineStr">
        <is>
          <t>46.113,71</t>
        </is>
      </c>
      <c r="J131" t="inlineStr">
        <is>
          <t>215</t>
        </is>
      </c>
      <c r="K131" t="inlineStr">
        <is>
          <t>8.2 — Pago de cuentas por pagar</t>
        </is>
      </c>
    </row>
    <row r="132">
      <c r="A132" s="6">
        <f>A131+1</f>
        <v/>
      </c>
      <c r="B132" t="inlineStr">
        <is>
          <t>Abril</t>
        </is>
      </c>
      <c r="C132" s="6" t="inlineStr">
        <is>
          <t>BCV</t>
        </is>
      </c>
      <c r="D132" s="15" t="n">
        <v>46141</v>
      </c>
      <c r="E132" s="16" t="inlineStr">
        <is>
          <t>00458241</t>
        </is>
      </c>
      <c r="F132" s="19" t="inlineStr">
        <is>
          <t>PAPELERIA LA NUBE AZUL FACT XXX</t>
        </is>
      </c>
      <c r="G132" s="21" t="inlineStr">
        <is>
          <t>15.052,83</t>
        </is>
      </c>
      <c r="J132" t="inlineStr"/>
      <c r="K132" s="12" t="inlineStr">
        <is>
          <t>4.1 — Gastos oficina</t>
        </is>
      </c>
    </row>
    <row r="133">
      <c r="A133" s="6">
        <f>A132+1</f>
        <v/>
      </c>
      <c r="B133" t="inlineStr">
        <is>
          <t>Abril</t>
        </is>
      </c>
      <c r="C133" s="6" t="inlineStr">
        <is>
          <t>BCV</t>
        </is>
      </c>
      <c r="D133" s="15" t="n">
        <v>46141</v>
      </c>
      <c r="E133" s="16" t="inlineStr">
        <is>
          <t>00459556</t>
        </is>
      </c>
      <c r="F133" s="19" t="inlineStr">
        <is>
          <t>JOSE CABRERA DELIVERYS</t>
        </is>
      </c>
      <c r="G133" s="21" t="inlineStr">
        <is>
          <t>6.018,00</t>
        </is>
      </c>
      <c r="J133" t="inlineStr"/>
      <c r="K133" t="inlineStr">
        <is>
          <t>4.7 — Deliveries Insumos</t>
        </is>
      </c>
    </row>
    <row r="134">
      <c r="A134" s="6">
        <f>A133+1</f>
        <v/>
      </c>
      <c r="B134" t="inlineStr">
        <is>
          <t>Abril</t>
        </is>
      </c>
      <c r="C134" s="6" t="inlineStr">
        <is>
          <t>BCV</t>
        </is>
      </c>
      <c r="D134" s="15" t="n">
        <v>46141</v>
      </c>
      <c r="E134" s="16" t="inlineStr">
        <is>
          <t>00459559</t>
        </is>
      </c>
      <c r="F134" s="19" t="inlineStr">
        <is>
          <t>GABRIELA CESPEDES TRANSPORTE NOCTURNO</t>
        </is>
      </c>
      <c r="G134" s="21" t="inlineStr">
        <is>
          <t>19.658,80</t>
        </is>
      </c>
      <c r="J134" t="inlineStr"/>
      <c r="K134" t="inlineStr">
        <is>
          <t>3.5 — Transporte de Personal</t>
        </is>
      </c>
    </row>
    <row r="135">
      <c r="A135" s="6">
        <f>A134+1</f>
        <v/>
      </c>
      <c r="B135" t="inlineStr">
        <is>
          <t>Abril</t>
        </is>
      </c>
      <c r="C135" s="6" t="inlineStr">
        <is>
          <t>BCV</t>
        </is>
      </c>
      <c r="D135" s="15" t="n">
        <v>46142</v>
      </c>
      <c r="E135" s="16" t="inlineStr">
        <is>
          <t>00672769</t>
        </is>
      </c>
      <c r="F135" s="19" t="inlineStr">
        <is>
          <t>PAPELERIA LA NUBE AZUL FACT XXXX</t>
        </is>
      </c>
      <c r="G135" s="21" t="inlineStr">
        <is>
          <t>10.054,21</t>
        </is>
      </c>
      <c r="J135" t="inlineStr"/>
      <c r="K135" t="inlineStr">
        <is>
          <t>4.1 — Gastos oficina</t>
        </is>
      </c>
    </row>
    <row r="136">
      <c r="A136" s="6">
        <f>A135+1</f>
        <v/>
      </c>
      <c r="B136" t="inlineStr">
        <is>
          <t>Abril</t>
        </is>
      </c>
      <c r="C136" s="6" t="inlineStr">
        <is>
          <t>BCV</t>
        </is>
      </c>
      <c r="D136" s="15" t="n">
        <v>46142</v>
      </c>
      <c r="E136" s="16" t="inlineStr">
        <is>
          <t>00696769</t>
        </is>
      </c>
      <c r="F136" s="19" t="inlineStr">
        <is>
          <t>HILLARY PEREZ SDA QNA ABRIL26</t>
        </is>
      </c>
      <c r="G136" s="21" t="inlineStr">
        <is>
          <t>13.146,57</t>
        </is>
      </c>
      <c r="J136" t="inlineStr"/>
      <c r="K136" t="inlineStr">
        <is>
          <t>3.1 — Sueldos</t>
        </is>
      </c>
    </row>
    <row r="137">
      <c r="A137" s="6">
        <f>A136+1</f>
        <v/>
      </c>
      <c r="B137" t="inlineStr">
        <is>
          <t>Abril</t>
        </is>
      </c>
      <c r="C137" s="6" t="inlineStr">
        <is>
          <t>BCV</t>
        </is>
      </c>
      <c r="D137" s="15" t="n">
        <v>46142</v>
      </c>
      <c r="E137" s="16" t="inlineStr">
        <is>
          <t>00696773</t>
        </is>
      </c>
      <c r="F137" s="19" t="inlineStr">
        <is>
          <t>ANTHUAN HIGUERA PROP SDA QNA ABRIL26</t>
        </is>
      </c>
      <c r="G137" s="21" t="inlineStr">
        <is>
          <t>8.077,41</t>
        </is>
      </c>
      <c r="J137" t="inlineStr"/>
      <c r="K137" t="inlineStr">
        <is>
          <t>8.1 — Bono 10% y Propinas por pagar al personal</t>
        </is>
      </c>
    </row>
    <row r="138">
      <c r="A138" s="6">
        <f>A137+1</f>
        <v/>
      </c>
      <c r="B138" t="inlineStr">
        <is>
          <t>Abril</t>
        </is>
      </c>
      <c r="C138" s="6" t="inlineStr">
        <is>
          <t>BCV</t>
        </is>
      </c>
      <c r="D138" s="15" t="n">
        <v>46142</v>
      </c>
      <c r="E138" s="16" t="inlineStr">
        <is>
          <t>00696777</t>
        </is>
      </c>
      <c r="F138" s="19" t="inlineStr">
        <is>
          <t>SILVIO INAGA 23 AL 30 04 26</t>
        </is>
      </c>
      <c r="G138" s="21" t="inlineStr">
        <is>
          <t>4.022,08</t>
        </is>
      </c>
      <c r="J138" t="inlineStr"/>
      <c r="K138" t="inlineStr">
        <is>
          <t>3.1 — Sueldos</t>
        </is>
      </c>
    </row>
    <row r="139">
      <c r="A139" s="6">
        <f>A138+1</f>
        <v/>
      </c>
      <c r="B139" t="inlineStr">
        <is>
          <t>Abril</t>
        </is>
      </c>
      <c r="C139" s="6" t="inlineStr">
        <is>
          <t>BCV</t>
        </is>
      </c>
      <c r="D139" s="15" t="n">
        <v>46142</v>
      </c>
      <c r="E139" s="16" t="inlineStr">
        <is>
          <t>00696787</t>
        </is>
      </c>
      <c r="F139" s="19" t="inlineStr">
        <is>
          <t>ANGELICA RONDON PROP 23 AL 30 04 26</t>
        </is>
      </c>
      <c r="G139" s="21" t="inlineStr">
        <is>
          <t>9.091,24</t>
        </is>
      </c>
      <c r="J139" t="inlineStr"/>
      <c r="K139" t="inlineStr">
        <is>
          <t>8.1 — Bono 10% y Propinas por pagar al personal</t>
        </is>
      </c>
    </row>
    <row r="140">
      <c r="A140" s="6">
        <f>A139+1</f>
        <v/>
      </c>
      <c r="B140" t="inlineStr">
        <is>
          <t>Abril</t>
        </is>
      </c>
      <c r="C140" s="6" t="inlineStr">
        <is>
          <t>BCV</t>
        </is>
      </c>
      <c r="D140" s="15" t="n">
        <v>46142</v>
      </c>
      <c r="E140" s="16" t="inlineStr">
        <is>
          <t>00696792</t>
        </is>
      </c>
      <c r="F140" s="19" t="inlineStr">
        <is>
          <t>LUIS PARADA 22 AL 30 04 26</t>
        </is>
      </c>
      <c r="G140" s="21" t="inlineStr">
        <is>
          <t>17.636,40</t>
        </is>
      </c>
      <c r="J140" t="inlineStr"/>
      <c r="K140" t="inlineStr">
        <is>
          <t>3.1 — Sueldos</t>
        </is>
      </c>
    </row>
    <row r="141">
      <c r="A141" s="6">
        <f>A140+1</f>
        <v/>
      </c>
      <c r="B141" t="inlineStr">
        <is>
          <t>Abril</t>
        </is>
      </c>
      <c r="C141" s="6" t="inlineStr">
        <is>
          <t>BCV</t>
        </is>
      </c>
      <c r="D141" s="15" t="n">
        <v>46142</v>
      </c>
      <c r="E141" s="16" t="inlineStr">
        <is>
          <t>00696796</t>
        </is>
      </c>
      <c r="F141" s="19" t="inlineStr">
        <is>
          <t>HILLARY PEREZ BONO ALIM 2DA QNA ABRI26</t>
        </is>
      </c>
      <c r="G141" s="21" t="inlineStr">
        <is>
          <t>10.671,92</t>
        </is>
      </c>
      <c r="J141" t="inlineStr"/>
      <c r="K141" t="inlineStr">
        <is>
          <t>3.1 — Sueldos</t>
        </is>
      </c>
    </row>
    <row r="142">
      <c r="A142" s="6">
        <f>A141+1</f>
        <v/>
      </c>
      <c r="B142" t="inlineStr">
        <is>
          <t>Abril</t>
        </is>
      </c>
      <c r="C142" s="6" t="inlineStr">
        <is>
          <t>BCV</t>
        </is>
      </c>
      <c r="D142" s="15" t="n">
        <v>46142</v>
      </c>
      <c r="E142" s="16" t="inlineStr">
        <is>
          <t>00696802</t>
        </is>
      </c>
      <c r="F142" s="19" t="inlineStr">
        <is>
          <t>ANTHUAN HIGUERA BONO ALIM 2DA QNA ABR26</t>
        </is>
      </c>
      <c r="G142" s="21" t="inlineStr">
        <is>
          <t>10.671,92</t>
        </is>
      </c>
      <c r="J142" t="inlineStr"/>
      <c r="K142" s="12" t="inlineStr">
        <is>
          <t>3.1 — Sueldos</t>
        </is>
      </c>
    </row>
    <row r="143">
      <c r="A143" s="6">
        <f>A142+1</f>
        <v/>
      </c>
      <c r="B143" t="inlineStr">
        <is>
          <t>Abril</t>
        </is>
      </c>
      <c r="C143" s="6" t="inlineStr">
        <is>
          <t>BCV</t>
        </is>
      </c>
      <c r="D143" s="15" t="n">
        <v>46142</v>
      </c>
      <c r="E143" s="16" t="inlineStr">
        <is>
          <t>00696807</t>
        </is>
      </c>
      <c r="F143" s="19" t="inlineStr">
        <is>
          <t>SILVIO INAGA BONO ALIM 2DA QNA ABR26</t>
        </is>
      </c>
      <c r="G143" s="21" t="inlineStr">
        <is>
          <t>5.335,96</t>
        </is>
      </c>
      <c r="J143" t="inlineStr"/>
      <c r="K143" s="12" t="inlineStr">
        <is>
          <t>3.1 — Sueldos</t>
        </is>
      </c>
    </row>
    <row r="144">
      <c r="A144" s="6">
        <f>A143+1</f>
        <v/>
      </c>
      <c r="B144" t="inlineStr">
        <is>
          <t>Abril</t>
        </is>
      </c>
      <c r="C144" s="6" t="inlineStr">
        <is>
          <t>BCV</t>
        </is>
      </c>
      <c r="D144" s="15" t="n">
        <v>46142</v>
      </c>
      <c r="E144" s="16" t="inlineStr">
        <is>
          <t>00696815</t>
        </is>
      </c>
      <c r="F144" s="19" t="inlineStr">
        <is>
          <t>ANGELICA RONDON BONO ALIM 2DA QNA ABR26</t>
        </is>
      </c>
      <c r="G144" s="21" t="inlineStr">
        <is>
          <t>5.335,96</t>
        </is>
      </c>
      <c r="J144" t="inlineStr"/>
      <c r="K144" t="inlineStr">
        <is>
          <t>3.1 — Sueldos</t>
        </is>
      </c>
    </row>
    <row r="145">
      <c r="A145" s="6">
        <f>A144+1</f>
        <v/>
      </c>
      <c r="B145" t="inlineStr">
        <is>
          <t>Abril</t>
        </is>
      </c>
      <c r="C145" s="6" t="inlineStr">
        <is>
          <t>BCV</t>
        </is>
      </c>
      <c r="D145" s="15" t="n">
        <v>46142</v>
      </c>
      <c r="E145" s="16" t="inlineStr">
        <is>
          <t>00696818</t>
        </is>
      </c>
      <c r="F145" s="19" t="inlineStr">
        <is>
          <t>LUIS PARADA BONO ALIM 2DA QNA ABR26</t>
        </is>
      </c>
      <c r="G145" s="21" t="inlineStr">
        <is>
          <t>6.098,24</t>
        </is>
      </c>
      <c r="J145" t="inlineStr"/>
      <c r="K145" t="inlineStr">
        <is>
          <t>3.1 — Sueldos</t>
        </is>
      </c>
    </row>
    <row r="146">
      <c r="A146" s="6">
        <f>A145+1</f>
        <v/>
      </c>
      <c r="B146" t="inlineStr">
        <is>
          <t>Abril</t>
        </is>
      </c>
      <c r="C146" s="6" t="inlineStr">
        <is>
          <t>BCV</t>
        </is>
      </c>
      <c r="D146" s="15" t="n">
        <v>46142</v>
      </c>
      <c r="E146" s="16" t="inlineStr">
        <is>
          <t>00696822</t>
        </is>
      </c>
      <c r="F146" s="19" t="inlineStr">
        <is>
          <t>HILLARY PEREZ BONO COMPL 2DA QNA ABRIL26</t>
        </is>
      </c>
      <c r="G146" s="21" t="inlineStr">
        <is>
          <t>55.493,98</t>
        </is>
      </c>
      <c r="J146" t="inlineStr"/>
      <c r="K146" t="inlineStr">
        <is>
          <t>3.1 — Sueldos</t>
        </is>
      </c>
    </row>
    <row r="147">
      <c r="A147" s="6">
        <f>A146+1</f>
        <v/>
      </c>
      <c r="B147" t="inlineStr">
        <is>
          <t>Abril</t>
        </is>
      </c>
      <c r="C147" s="6" t="inlineStr">
        <is>
          <t>BCV</t>
        </is>
      </c>
      <c r="D147" s="15" t="n">
        <v>46142</v>
      </c>
      <c r="E147" s="16" t="inlineStr">
        <is>
          <t>00696828</t>
        </is>
      </c>
      <c r="F147" s="19" t="inlineStr">
        <is>
          <t>ANTHUAN HIGUERA BONO COMP 2DA QNA ABRI26</t>
        </is>
      </c>
      <c r="G147" s="21" t="inlineStr">
        <is>
          <t>34.150,14</t>
        </is>
      </c>
      <c r="J147" t="inlineStr"/>
      <c r="K147" t="inlineStr">
        <is>
          <t>3.1 — Sueldos</t>
        </is>
      </c>
    </row>
    <row r="148">
      <c r="A148" s="6">
        <f>A147+1</f>
        <v/>
      </c>
      <c r="B148" t="inlineStr">
        <is>
          <t>Abril</t>
        </is>
      </c>
      <c r="C148" s="6" t="inlineStr">
        <is>
          <t>BCV</t>
        </is>
      </c>
      <c r="D148" s="15" t="n">
        <v>46142</v>
      </c>
      <c r="E148" s="16" t="inlineStr">
        <is>
          <t>00696835</t>
        </is>
      </c>
      <c r="F148" s="19" t="inlineStr">
        <is>
          <t>SILVIA INAGA BONO COMPL SDA QNA ABRI26</t>
        </is>
      </c>
      <c r="G148" s="21" t="inlineStr">
        <is>
          <t>17.075,07</t>
        </is>
      </c>
      <c r="J148" t="inlineStr"/>
      <c r="K148" t="inlineStr">
        <is>
          <t>3.1 — Sueldos</t>
        </is>
      </c>
    </row>
    <row r="149">
      <c r="A149" s="6">
        <f>A148+1</f>
        <v/>
      </c>
      <c r="B149" t="inlineStr">
        <is>
          <t>Abril</t>
        </is>
      </c>
      <c r="C149" s="6" t="inlineStr">
        <is>
          <t>BCV</t>
        </is>
      </c>
      <c r="D149" s="15" t="n">
        <v>46142</v>
      </c>
      <c r="E149" s="16" t="inlineStr">
        <is>
          <t>00696839</t>
        </is>
      </c>
      <c r="F149" s="19" t="inlineStr">
        <is>
          <t>ANGELICA RONDON BONO COMPL 2DA QNA ABRIL</t>
        </is>
      </c>
      <c r="G149" s="21" t="inlineStr">
        <is>
          <t>38.418,91</t>
        </is>
      </c>
      <c r="J149" t="inlineStr"/>
      <c r="K149" t="inlineStr">
        <is>
          <t>3.1 — Sueldos</t>
        </is>
      </c>
    </row>
    <row r="150">
      <c r="A150" s="6">
        <f>A149+1</f>
        <v/>
      </c>
      <c r="B150" t="inlineStr">
        <is>
          <t>Abril</t>
        </is>
      </c>
      <c r="C150" s="6" t="inlineStr">
        <is>
          <t>BCV</t>
        </is>
      </c>
      <c r="D150" s="15" t="n">
        <v>46142</v>
      </c>
      <c r="E150" s="16" t="inlineStr">
        <is>
          <t>00696845</t>
        </is>
      </c>
      <c r="F150" s="19" t="inlineStr">
        <is>
          <t>LUIS PARADA BONO COMP 2DA QNA ABRI26</t>
        </is>
      </c>
      <c r="G150" s="21" t="inlineStr">
        <is>
          <t>74.398,53</t>
        </is>
      </c>
      <c r="J150" t="inlineStr"/>
      <c r="K150" s="12" t="inlineStr">
        <is>
          <t>3.1 — Sueldos</t>
        </is>
      </c>
    </row>
    <row r="151">
      <c r="A151" s="6">
        <f>A150+1</f>
        <v/>
      </c>
      <c r="B151" t="inlineStr">
        <is>
          <t>Abril</t>
        </is>
      </c>
      <c r="C151" s="6" t="inlineStr">
        <is>
          <t>BCV</t>
        </is>
      </c>
      <c r="D151" s="15" t="n">
        <v>46142</v>
      </c>
      <c r="E151" s="17" t="n">
        <v>748717</v>
      </c>
      <c r="F151" s="20" t="inlineStr">
        <is>
          <t>ORLANDO CASTRO DELIVERY</t>
        </is>
      </c>
      <c r="G151" s="24" t="n">
        <v>10000</v>
      </c>
      <c r="J151" t="inlineStr"/>
      <c r="K151" s="12" t="inlineStr">
        <is>
          <t>4.10 — Mantenimiento</t>
        </is>
      </c>
    </row>
    <row r="152">
      <c r="A152" s="6">
        <f>A151+1</f>
        <v/>
      </c>
      <c r="B152" t="inlineStr">
        <is>
          <t>Abril</t>
        </is>
      </c>
      <c r="C152" s="6" t="inlineStr">
        <is>
          <t>BCV</t>
        </is>
      </c>
      <c r="D152" s="15" t="n">
        <v>46142</v>
      </c>
      <c r="E152" s="17" t="n">
        <v>757280</v>
      </c>
      <c r="F152" s="20" t="inlineStr">
        <is>
          <t>MAJO CUADROS BOCU</t>
        </is>
      </c>
      <c r="G152" s="24" t="n">
        <v>58455</v>
      </c>
      <c r="J152" t="inlineStr"/>
      <c r="K152" s="12" t="inlineStr">
        <is>
          <t>3.1 — Sueldos</t>
        </is>
      </c>
    </row>
    <row r="153">
      <c r="A153" s="6">
        <f>A152+1</f>
        <v/>
      </c>
      <c r="B153" t="inlineStr">
        <is>
          <t>Abril</t>
        </is>
      </c>
      <c r="C153" s="6" t="inlineStr">
        <is>
          <t>BCV</t>
        </is>
      </c>
      <c r="D153" s="15" t="n">
        <v>46142</v>
      </c>
      <c r="E153" s="16" t="inlineStr">
        <is>
          <t>00758331</t>
        </is>
      </c>
      <c r="F153" s="19" t="inlineStr">
        <is>
          <t>ELIU HURTADO VELAS</t>
        </is>
      </c>
      <c r="G153" s="21" t="inlineStr">
        <is>
          <t>28.337,76</t>
        </is>
      </c>
      <c r="J153" t="inlineStr"/>
      <c r="K153" s="12" t="inlineStr">
        <is>
          <t>4.5 — Suministros Comedor y Limpieza</t>
        </is>
      </c>
    </row>
    <row r="154">
      <c r="A154" s="6">
        <f>A153+1</f>
        <v/>
      </c>
      <c r="B154" t="inlineStr">
        <is>
          <t>Abril</t>
        </is>
      </c>
      <c r="C154" s="6" t="inlineStr">
        <is>
          <t>BCV</t>
        </is>
      </c>
      <c r="D154" s="15" t="n">
        <v>46142</v>
      </c>
      <c r="E154" s="17" t="n">
        <v>764829</v>
      </c>
      <c r="F154" s="20" t="inlineStr">
        <is>
          <t>PAPELERIA LA NUBE AZUL DELIVERY</t>
        </is>
      </c>
      <c r="G154" s="24" t="n">
        <v>2500</v>
      </c>
      <c r="J154" t="inlineStr"/>
      <c r="K154" s="12" t="inlineStr">
        <is>
          <t>4.1 — Gastos oficina</t>
        </is>
      </c>
    </row>
    <row r="155">
      <c r="A155" s="6">
        <f>A154+1</f>
        <v/>
      </c>
      <c r="B155" t="inlineStr">
        <is>
          <t>Abril</t>
        </is>
      </c>
      <c r="C155" s="6" t="inlineStr">
        <is>
          <t>BCV</t>
        </is>
      </c>
      <c r="D155" s="15" t="n">
        <v>46142</v>
      </c>
      <c r="E155" s="17" t="n">
        <v>791124</v>
      </c>
      <c r="F155" s="20" t="inlineStr">
        <is>
          <t>111810 VYV CRISTOBAI</t>
        </is>
      </c>
      <c r="G155" s="24" t="n">
        <v>35475.98</v>
      </c>
      <c r="J155" t="inlineStr"/>
      <c r="K155" t="inlineStr">
        <is>
          <t>99 — POR DETERMINAR</t>
        </is>
      </c>
    </row>
    <row r="156">
      <c r="A156" s="6">
        <f>A155+1</f>
        <v/>
      </c>
      <c r="B156" t="inlineStr">
        <is>
          <t>Abril</t>
        </is>
      </c>
      <c r="C156" s="6" t="inlineStr">
        <is>
          <t>BCV</t>
        </is>
      </c>
      <c r="D156" s="15" t="n">
        <v>46142</v>
      </c>
      <c r="E156" s="16" t="inlineStr">
        <is>
          <t>95886658</t>
        </is>
      </c>
      <c r="F156" s="19" t="inlineStr">
        <is>
          <t>JORGE CANABAL BONO COMP 2DA QNA ABRIL26</t>
        </is>
      </c>
      <c r="G156" s="21" t="inlineStr">
        <is>
          <t>207.490,10</t>
        </is>
      </c>
      <c r="J156" t="inlineStr"/>
      <c r="K156" s="12" t="inlineStr">
        <is>
          <t>3.1 — Sueldos</t>
        </is>
      </c>
    </row>
    <row r="157">
      <c r="A157" s="6">
        <f>A156+1</f>
        <v/>
      </c>
      <c r="B157" t="inlineStr">
        <is>
          <t>Abril</t>
        </is>
      </c>
      <c r="C157" s="6" t="inlineStr">
        <is>
          <t>BCV</t>
        </is>
      </c>
      <c r="D157" s="15" t="n">
        <v>46142</v>
      </c>
      <c r="E157" s="17" t="inlineStr">
        <is>
          <t>TD</t>
        </is>
      </c>
      <c r="F157" s="20" t="inlineStr">
        <is>
          <t>INVERSIONES LUVEBRAS FACT 88022</t>
        </is>
      </c>
      <c r="G157" s="24" t="n">
        <v>5226.79</v>
      </c>
      <c r="J157" t="inlineStr">
        <is>
          <t>88022</t>
        </is>
      </c>
      <c r="K157" s="12" t="inlineStr">
        <is>
          <t>8.2 — Pago de cuentas por pagar</t>
        </is>
      </c>
    </row>
    <row r="158">
      <c r="A158" s="6">
        <f>A157+1</f>
        <v/>
      </c>
      <c r="B158" t="inlineStr">
        <is>
          <t>Mayo</t>
        </is>
      </c>
      <c r="C158" s="6" t="inlineStr">
        <is>
          <t>BCV</t>
        </is>
      </c>
      <c r="D158" s="15" t="n">
        <v>46143</v>
      </c>
      <c r="E158" s="17" t="n">
        <v>878508</v>
      </c>
      <c r="F158" s="20" t="inlineStr">
        <is>
          <t>INVERSIONES LUVEBRAS</t>
        </is>
      </c>
      <c r="G158" s="24" t="n">
        <v>2101.15</v>
      </c>
      <c r="J158" t="inlineStr"/>
      <c r="K158" s="12" t="inlineStr">
        <is>
          <t>8.2 — Pago de cuentas por pagar</t>
        </is>
      </c>
    </row>
    <row r="159">
      <c r="A159" s="6">
        <f>A158+1</f>
        <v/>
      </c>
      <c r="B159" t="inlineStr">
        <is>
          <t>Mayo</t>
        </is>
      </c>
      <c r="C159" s="6" t="inlineStr">
        <is>
          <t>BCV</t>
        </is>
      </c>
      <c r="D159" s="15" t="n">
        <v>46144</v>
      </c>
      <c r="E159" s="16" t="inlineStr">
        <is>
          <t>00169445</t>
        </is>
      </c>
      <c r="F159" s="19" t="inlineStr">
        <is>
          <t>FARMATODO AGUA MINERAL</t>
        </is>
      </c>
      <c r="G159" s="21" t="inlineStr">
        <is>
          <t>16.087,75</t>
        </is>
      </c>
      <c r="J159" t="inlineStr"/>
      <c r="K159" t="inlineStr">
        <is>
          <t>4.5 — Suministros Comedor y Limpieza</t>
        </is>
      </c>
    </row>
    <row r="160">
      <c r="A160" s="6">
        <f>A159+1</f>
        <v/>
      </c>
      <c r="B160" t="inlineStr">
        <is>
          <t>Mayo</t>
        </is>
      </c>
      <c r="C160" s="6" t="inlineStr">
        <is>
          <t>BCV</t>
        </is>
      </c>
      <c r="D160" s="15" t="n">
        <v>46144</v>
      </c>
      <c r="E160" s="17" t="n">
        <v>998499</v>
      </c>
      <c r="F160" s="20" t="inlineStr">
        <is>
          <t>INVERSIONES LUVEBRAS</t>
        </is>
      </c>
      <c r="G160" s="24" t="n">
        <v>5252.94</v>
      </c>
      <c r="J160" t="inlineStr"/>
      <c r="K160" s="12" t="inlineStr">
        <is>
          <t>8.2 — Pago de cuentas por pagar</t>
        </is>
      </c>
    </row>
    <row r="161">
      <c r="A161" s="6">
        <f>A160+1</f>
        <v/>
      </c>
      <c r="B161" t="inlineStr">
        <is>
          <t>Mayo</t>
        </is>
      </c>
      <c r="C161" s="6" t="inlineStr">
        <is>
          <t>BCV</t>
        </is>
      </c>
      <c r="D161" s="15" t="n">
        <v>46144</v>
      </c>
      <c r="E161" s="16" t="inlineStr">
        <is>
          <t>49434097</t>
        </is>
      </c>
      <c r="F161" s="19" t="inlineStr">
        <is>
          <t>COMERCIALIZADOARA ARINVE</t>
        </is>
      </c>
      <c r="G161" s="21" t="inlineStr">
        <is>
          <t>5.876,60</t>
        </is>
      </c>
      <c r="J161" t="inlineStr"/>
      <c r="K161" s="12" t="inlineStr">
        <is>
          <t>2.1 — Compras de mercancía</t>
        </is>
      </c>
    </row>
    <row r="162">
      <c r="A162" s="6">
        <f>A161+1</f>
        <v/>
      </c>
      <c r="B162" t="inlineStr">
        <is>
          <t>Mayo</t>
        </is>
      </c>
      <c r="C162" s="6" t="inlineStr">
        <is>
          <t>BCV</t>
        </is>
      </c>
      <c r="D162" s="15" t="n">
        <v>46144</v>
      </c>
      <c r="E162" s="16" t="inlineStr">
        <is>
          <t>85889782</t>
        </is>
      </c>
      <c r="F162" s="19" t="inlineStr">
        <is>
          <t>MUNDO REPOSTERO LA TRINIDAD</t>
        </is>
      </c>
      <c r="G162" s="21" t="inlineStr">
        <is>
          <t>3.350,27</t>
        </is>
      </c>
      <c r="J162" t="inlineStr"/>
      <c r="K162" s="12" t="inlineStr">
        <is>
          <t>2.1 — Compras de mercancía</t>
        </is>
      </c>
    </row>
    <row r="163">
      <c r="A163" s="6">
        <f>A162+1</f>
        <v/>
      </c>
      <c r="K163" s="12" t="n"/>
    </row>
    <row r="164">
      <c r="A164" s="6">
        <f>A163+1</f>
        <v/>
      </c>
      <c r="K164" s="12" t="n"/>
    </row>
    <row r="165">
      <c r="A165" s="6">
        <f>A164+1</f>
        <v/>
      </c>
      <c r="K165" s="12" t="n"/>
    </row>
    <row r="166">
      <c r="A166" s="6">
        <f>A165+1</f>
        <v/>
      </c>
      <c r="K166" s="12" t="n"/>
    </row>
    <row r="167">
      <c r="A167" s="6">
        <f>A166+1</f>
        <v/>
      </c>
    </row>
    <row r="168">
      <c r="A168" s="6">
        <f>A167+1</f>
        <v/>
      </c>
    </row>
    <row r="169">
      <c r="A169" s="6">
        <f>A168+1</f>
        <v/>
      </c>
    </row>
    <row r="170">
      <c r="A170" s="6">
        <f>A169+1</f>
        <v/>
      </c>
    </row>
    <row r="171">
      <c r="A171" s="6">
        <f>A170+1</f>
        <v/>
      </c>
    </row>
    <row r="172">
      <c r="A172" s="6">
        <f>A171+1</f>
        <v/>
      </c>
    </row>
    <row r="173">
      <c r="A173" s="6">
        <f>A172+1</f>
        <v/>
      </c>
    </row>
    <row r="174">
      <c r="A174" s="6">
        <f>A173+1</f>
        <v/>
      </c>
    </row>
    <row r="175">
      <c r="A175" s="6">
        <f>A174+1</f>
        <v/>
      </c>
    </row>
    <row r="176">
      <c r="A176" s="6">
        <f>A175+1</f>
        <v/>
      </c>
    </row>
    <row r="177">
      <c r="A177" s="6">
        <f>A176+1</f>
        <v/>
      </c>
    </row>
    <row r="178">
      <c r="A178" s="6">
        <f>A177+1</f>
        <v/>
      </c>
    </row>
    <row r="179">
      <c r="A179" s="6">
        <f>A178+1</f>
        <v/>
      </c>
    </row>
    <row r="180">
      <c r="A180" s="6">
        <f>A179+1</f>
        <v/>
      </c>
    </row>
    <row r="181">
      <c r="A181" s="6">
        <f>A180+1</f>
        <v/>
      </c>
    </row>
    <row r="182">
      <c r="A182" s="6">
        <f>A181+1</f>
        <v/>
      </c>
      <c r="K182" s="12" t="n"/>
    </row>
    <row r="183">
      <c r="A183" s="6">
        <f>A182+1</f>
        <v/>
      </c>
      <c r="K183" s="12" t="n"/>
    </row>
    <row r="184">
      <c r="A184" s="6">
        <f>A183+1</f>
        <v/>
      </c>
    </row>
    <row r="185">
      <c r="A185" s="6">
        <f>A184+1</f>
        <v/>
      </c>
    </row>
    <row r="186">
      <c r="A186" s="6">
        <f>A185+1</f>
        <v/>
      </c>
    </row>
    <row r="187">
      <c r="A187" s="6">
        <f>A186+1</f>
        <v/>
      </c>
    </row>
    <row r="188">
      <c r="A188" s="6">
        <f>A187+1</f>
        <v/>
      </c>
    </row>
    <row r="189">
      <c r="A189" s="6">
        <f>A188+1</f>
        <v/>
      </c>
      <c r="K189" s="12" t="n"/>
    </row>
    <row r="190">
      <c r="A190" s="6">
        <f>A189+1</f>
        <v/>
      </c>
      <c r="K190" s="12" t="n"/>
    </row>
    <row r="191">
      <c r="A191" s="6">
        <f>A190+1</f>
        <v/>
      </c>
    </row>
    <row r="192">
      <c r="A192" s="6">
        <f>A191+1</f>
        <v/>
      </c>
    </row>
    <row r="193">
      <c r="A193" s="6">
        <f>A192+1</f>
        <v/>
      </c>
    </row>
    <row r="194">
      <c r="A194" s="6">
        <f>A193+1</f>
        <v/>
      </c>
    </row>
    <row r="195">
      <c r="A195" s="6">
        <f>A194+1</f>
        <v/>
      </c>
    </row>
    <row r="196">
      <c r="A196" s="6">
        <f>A195+1</f>
        <v/>
      </c>
    </row>
    <row r="197">
      <c r="A197" s="6">
        <f>A196+1</f>
        <v/>
      </c>
      <c r="K197" s="12" t="n"/>
    </row>
    <row r="198">
      <c r="A198" s="6">
        <f>A197+1</f>
        <v/>
      </c>
      <c r="I198" s="13" t="n"/>
      <c r="K198" s="12" t="n"/>
    </row>
    <row r="199">
      <c r="A199" s="6">
        <f>A198+1</f>
        <v/>
      </c>
    </row>
    <row r="200">
      <c r="A200" s="6">
        <f>A199+1</f>
        <v/>
      </c>
    </row>
    <row r="201">
      <c r="A201" s="6">
        <f>A200+1</f>
        <v/>
      </c>
      <c r="K201" s="12" t="n"/>
    </row>
    <row r="202">
      <c r="A202" s="6">
        <f>A201+1</f>
        <v/>
      </c>
    </row>
    <row r="203">
      <c r="A203" s="6">
        <f>A202+1</f>
        <v/>
      </c>
      <c r="K203" s="12" t="n"/>
    </row>
    <row r="204">
      <c r="A204" s="6">
        <f>A203+1</f>
        <v/>
      </c>
      <c r="K204" s="12" t="n"/>
    </row>
    <row r="205">
      <c r="A205" s="6">
        <f>A204+1</f>
        <v/>
      </c>
    </row>
    <row r="206">
      <c r="A206" s="6">
        <f>A205+1</f>
        <v/>
      </c>
      <c r="K206" s="12" t="n"/>
    </row>
    <row r="207">
      <c r="A207" s="6">
        <f>A206+1</f>
        <v/>
      </c>
      <c r="K207" s="12" t="n"/>
    </row>
    <row r="208">
      <c r="A208" s="6">
        <f>A207+1</f>
        <v/>
      </c>
    </row>
    <row r="209">
      <c r="A209" s="6">
        <f>A208+1</f>
        <v/>
      </c>
    </row>
    <row r="210">
      <c r="A210" s="6">
        <f>A209+1</f>
        <v/>
      </c>
    </row>
    <row r="211">
      <c r="A211" s="6">
        <f>A210+1</f>
        <v/>
      </c>
    </row>
    <row r="212">
      <c r="A212" s="6">
        <f>A211+1</f>
        <v/>
      </c>
      <c r="K212" s="12" t="n"/>
    </row>
    <row r="213">
      <c r="A213" s="6">
        <f>A212+1</f>
        <v/>
      </c>
    </row>
    <row r="214">
      <c r="A214" s="6">
        <f>A213+1</f>
        <v/>
      </c>
    </row>
    <row r="215">
      <c r="A215" s="6">
        <f>A214+1</f>
        <v/>
      </c>
      <c r="K215" s="12" t="n"/>
    </row>
    <row r="216">
      <c r="A216" s="6">
        <f>A215+1</f>
        <v/>
      </c>
    </row>
    <row r="217">
      <c r="A217" s="6">
        <f>A216+1</f>
        <v/>
      </c>
    </row>
    <row r="218">
      <c r="A218" s="6">
        <f>A217+1</f>
        <v/>
      </c>
    </row>
    <row r="219">
      <c r="A219" s="6">
        <f>A218+1</f>
        <v/>
      </c>
    </row>
    <row r="220">
      <c r="A220" s="6">
        <f>A219+1</f>
        <v/>
      </c>
    </row>
    <row r="221">
      <c r="A221" s="6">
        <f>A220+1</f>
        <v/>
      </c>
    </row>
    <row r="222">
      <c r="A222" s="6">
        <f>A221+1</f>
        <v/>
      </c>
    </row>
    <row r="223">
      <c r="A223" s="6">
        <f>A222+1</f>
        <v/>
      </c>
      <c r="K223" s="12" t="n"/>
    </row>
    <row r="224">
      <c r="A224" s="6">
        <f>A223+1</f>
        <v/>
      </c>
      <c r="K224" s="12" t="n"/>
    </row>
    <row r="225">
      <c r="A225" s="6">
        <f>A224+1</f>
        <v/>
      </c>
      <c r="K225" s="12" t="n"/>
    </row>
    <row r="226">
      <c r="A226" s="6">
        <f>A225+1</f>
        <v/>
      </c>
      <c r="K226" s="12" t="n"/>
    </row>
    <row r="227">
      <c r="A227" s="6">
        <f>A226+1</f>
        <v/>
      </c>
      <c r="K227" s="12" t="n"/>
    </row>
    <row r="228">
      <c r="A228" s="6">
        <f>A227+1</f>
        <v/>
      </c>
      <c r="K228" s="12" t="n"/>
    </row>
    <row r="229">
      <c r="A229" s="6">
        <f>A228+1</f>
        <v/>
      </c>
      <c r="K229" s="12" t="n"/>
    </row>
    <row r="230">
      <c r="A230" s="6">
        <f>A229+1</f>
        <v/>
      </c>
      <c r="K230" s="12" t="n"/>
    </row>
    <row r="231">
      <c r="A231" s="6">
        <f>A230+1</f>
        <v/>
      </c>
    </row>
    <row r="232">
      <c r="A232" s="6">
        <f>A230+1</f>
        <v/>
      </c>
      <c r="K232" s="12" t="n"/>
    </row>
    <row r="233">
      <c r="A233" s="6">
        <f>A232+1</f>
        <v/>
      </c>
      <c r="K233" s="12" t="n"/>
    </row>
    <row r="234">
      <c r="A234" s="6">
        <f>A233+1</f>
        <v/>
      </c>
      <c r="K234" s="12" t="n"/>
    </row>
    <row r="235">
      <c r="A235" s="6">
        <f>A234+1</f>
        <v/>
      </c>
      <c r="K235" s="12" t="n"/>
    </row>
    <row r="236">
      <c r="A236" s="6">
        <f>A235+1</f>
        <v/>
      </c>
      <c r="K236" s="12" t="n"/>
    </row>
    <row r="237">
      <c r="A237" s="6">
        <f>A236+1</f>
        <v/>
      </c>
      <c r="K237" s="12" t="n"/>
    </row>
    <row r="238">
      <c r="A238" s="6">
        <f>A237+1</f>
        <v/>
      </c>
      <c r="K238" s="12" t="n"/>
    </row>
    <row r="239">
      <c r="A239" s="6">
        <f>A238+1</f>
        <v/>
      </c>
      <c r="K239" s="12" t="n"/>
    </row>
    <row r="240">
      <c r="A240" s="6">
        <f>A239+1</f>
        <v/>
      </c>
      <c r="K240" s="12" t="n"/>
    </row>
    <row r="241">
      <c r="A241" s="6">
        <f>A240+1</f>
        <v/>
      </c>
      <c r="K241" s="12" t="n"/>
    </row>
    <row r="242">
      <c r="A242" s="6">
        <f>A241+1</f>
        <v/>
      </c>
    </row>
    <row r="243">
      <c r="A243" s="6">
        <f>A242+1</f>
        <v/>
      </c>
      <c r="K243" s="12" t="n"/>
    </row>
    <row r="244">
      <c r="A244" s="6">
        <f>A243+1</f>
        <v/>
      </c>
      <c r="K244" s="12" t="n"/>
    </row>
    <row r="245">
      <c r="A245" s="6">
        <f>A244+1</f>
        <v/>
      </c>
    </row>
    <row r="246">
      <c r="A246" s="6">
        <f>A245+1</f>
        <v/>
      </c>
      <c r="K246" s="12" t="n"/>
    </row>
    <row r="247">
      <c r="A247" s="6">
        <f>A246+1</f>
        <v/>
      </c>
      <c r="K247" s="12" t="n"/>
    </row>
    <row r="248">
      <c r="A248" s="6">
        <f>A247+1</f>
        <v/>
      </c>
      <c r="K248" s="12" t="n"/>
    </row>
    <row r="249">
      <c r="A249" s="6">
        <f>A248+1</f>
        <v/>
      </c>
      <c r="K249" s="12" t="n"/>
    </row>
    <row r="250">
      <c r="A250" s="6">
        <f>A249+1</f>
        <v/>
      </c>
      <c r="K250" s="12" t="n"/>
    </row>
    <row r="251">
      <c r="A251" s="6">
        <f>A250+1</f>
        <v/>
      </c>
      <c r="K251" s="12" t="n"/>
    </row>
    <row r="252">
      <c r="A252" s="6">
        <f>A251+1</f>
        <v/>
      </c>
      <c r="K252" s="12" t="n"/>
    </row>
    <row r="253">
      <c r="A253" s="6">
        <f>A252+1</f>
        <v/>
      </c>
      <c r="K253" s="12" t="n"/>
    </row>
    <row r="254">
      <c r="A254" s="6">
        <f>A253+1</f>
        <v/>
      </c>
      <c r="K254" s="12" t="n"/>
    </row>
    <row r="255">
      <c r="A255" s="6">
        <f>A254+1</f>
        <v/>
      </c>
      <c r="K255" s="12" t="n"/>
    </row>
    <row r="256">
      <c r="A256" s="6">
        <f>A255+1</f>
        <v/>
      </c>
    </row>
    <row r="257">
      <c r="A257" s="6">
        <f>A256+1</f>
        <v/>
      </c>
      <c r="K257" s="12" t="n"/>
    </row>
    <row r="258">
      <c r="A258" s="6">
        <f>A257+1</f>
        <v/>
      </c>
      <c r="K258" s="12" t="n"/>
    </row>
    <row r="259">
      <c r="A259" s="6">
        <f>A258+1</f>
        <v/>
      </c>
      <c r="K259" s="12" t="n"/>
    </row>
    <row r="260">
      <c r="A260" s="6">
        <f>A259+1</f>
        <v/>
      </c>
      <c r="K260" s="12" t="n"/>
    </row>
    <row r="261">
      <c r="A261" s="6">
        <f>A260+1</f>
        <v/>
      </c>
      <c r="K261" s="12" t="n"/>
    </row>
    <row r="262">
      <c r="A262" s="6">
        <f>A261+1</f>
        <v/>
      </c>
      <c r="K262" s="12" t="n"/>
    </row>
    <row r="263">
      <c r="A263" s="6">
        <f>A262+1</f>
        <v/>
      </c>
      <c r="K263" s="12" t="n"/>
    </row>
    <row r="264">
      <c r="A264" s="6">
        <f>A263+1</f>
        <v/>
      </c>
      <c r="K264" s="12" t="n"/>
    </row>
    <row r="265">
      <c r="A265" s="6">
        <f>A264+1</f>
        <v/>
      </c>
    </row>
    <row r="266">
      <c r="A266" s="6">
        <f>A265+1</f>
        <v/>
      </c>
      <c r="K266" s="12" t="n"/>
    </row>
    <row r="267">
      <c r="A267" s="6">
        <f>A266+1</f>
        <v/>
      </c>
      <c r="K267" s="12" t="n"/>
    </row>
    <row r="268">
      <c r="A268" s="6">
        <f>A267+1</f>
        <v/>
      </c>
      <c r="K268" s="12" t="n"/>
    </row>
    <row r="269">
      <c r="A269" s="6">
        <f>A268+1</f>
        <v/>
      </c>
      <c r="K269" s="12" t="n"/>
    </row>
    <row r="270">
      <c r="A270" s="6">
        <f>A269+1</f>
        <v/>
      </c>
      <c r="K270" s="12" t="n"/>
    </row>
    <row r="271">
      <c r="A271" s="6">
        <f>A270+1</f>
        <v/>
      </c>
      <c r="K271" s="12" t="n"/>
    </row>
    <row r="272">
      <c r="A272" s="6">
        <f>A271+1</f>
        <v/>
      </c>
    </row>
    <row r="273">
      <c r="A273" s="6">
        <f>A272+1</f>
        <v/>
      </c>
    </row>
    <row r="274">
      <c r="A274" s="6">
        <f>A273+1</f>
        <v/>
      </c>
    </row>
    <row r="275">
      <c r="A275" s="6">
        <f>A274+1</f>
        <v/>
      </c>
    </row>
    <row r="276">
      <c r="A276" s="6">
        <f>A275+1</f>
        <v/>
      </c>
      <c r="K276" s="12" t="n"/>
    </row>
    <row r="277">
      <c r="A277" s="6">
        <f>A276+1</f>
        <v/>
      </c>
      <c r="K277" s="12" t="n"/>
    </row>
    <row r="278">
      <c r="A278" s="6">
        <f>A277+1</f>
        <v/>
      </c>
      <c r="K278" s="12" t="n"/>
    </row>
    <row r="279">
      <c r="A279" s="6">
        <f>A278+1</f>
        <v/>
      </c>
      <c r="K279" s="12" t="n"/>
    </row>
    <row r="280">
      <c r="A280" s="6">
        <f>A279+1</f>
        <v/>
      </c>
      <c r="K280" s="12" t="n"/>
    </row>
    <row r="281">
      <c r="A281" s="6">
        <f>A280+1</f>
        <v/>
      </c>
      <c r="K281" s="12" t="n"/>
    </row>
    <row r="282">
      <c r="A282" s="6">
        <f>A281+1</f>
        <v/>
      </c>
      <c r="K282" s="12" t="n"/>
    </row>
    <row r="283">
      <c r="A283" s="6">
        <f>A282+1</f>
        <v/>
      </c>
      <c r="K283" s="12" t="n"/>
    </row>
    <row r="284">
      <c r="A284" s="6">
        <f>A283+1</f>
        <v/>
      </c>
      <c r="K284" s="12" t="n"/>
    </row>
    <row r="317">
      <c r="G317" s="11" t="n"/>
    </row>
  </sheetData>
  <autoFilter ref="A1:K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topLeftCell="A43" zoomScale="85" zoomScaleNormal="55" workbookViewId="0">
      <selection activeCell="C67" sqref="C67"/>
    </sheetView>
  </sheetViews>
  <sheetFormatPr baseColWidth="8" defaultColWidth="9.1796875" defaultRowHeight="14.5"/>
  <cols>
    <col width="10" customWidth="1" min="1" max="1"/>
    <col width="40" customWidth="1" min="2" max="2"/>
    <col width="20" customWidth="1" min="3" max="3"/>
    <col width="46" customWidth="1" min="7" max="7"/>
  </cols>
  <sheetData>
    <row r="1">
      <c r="A1" s="1" t="inlineStr">
        <is>
          <t>Código</t>
        </is>
      </c>
      <c r="B1" s="1" t="inlineStr">
        <is>
          <t>Nombre de Cuenta</t>
        </is>
      </c>
      <c r="C1" s="1" t="inlineStr">
        <is>
          <t>Grupo</t>
        </is>
      </c>
      <c r="D1" s="1" t="inlineStr">
        <is>
          <t>Afecta G&amp;P</t>
        </is>
      </c>
      <c r="E1" s="1" t="inlineStr">
        <is>
          <t>Afecta FC</t>
        </is>
      </c>
      <c r="F1" s="1" t="inlineStr">
        <is>
          <t>Activa</t>
        </is>
      </c>
      <c r="G1" s="1" t="inlineStr">
        <is>
          <t>CONC</t>
        </is>
      </c>
    </row>
    <row r="2">
      <c r="A2" t="inlineStr">
        <is>
          <t>1.1</t>
        </is>
      </c>
      <c r="B2" t="inlineStr">
        <is>
          <t>Ventas contado YV</t>
        </is>
      </c>
      <c r="C2" t="inlineStr">
        <is>
          <t>Ingresos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1.1 — Ventas contado YV</t>
        </is>
      </c>
    </row>
    <row r="3">
      <c r="A3" t="inlineStr">
        <is>
          <t>1.2</t>
        </is>
      </c>
      <c r="B3" t="inlineStr">
        <is>
          <t>Ventas contado Bocú</t>
        </is>
      </c>
      <c r="C3" t="inlineStr">
        <is>
          <t>Ingresos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1.2 — Ventas contado Bocú</t>
        </is>
      </c>
    </row>
    <row r="4">
      <c r="A4" t="inlineStr">
        <is>
          <t>1.3</t>
        </is>
      </c>
      <c r="B4" t="inlineStr">
        <is>
          <t>Ventas contado YV Market</t>
        </is>
      </c>
      <c r="C4" t="inlineStr">
        <is>
          <t>Ingresos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1.3 — Ventas contado YV Market</t>
        </is>
      </c>
    </row>
    <row r="5">
      <c r="A5" t="inlineStr">
        <is>
          <t>1.4</t>
        </is>
      </c>
      <c r="B5" t="inlineStr">
        <is>
          <t>Ventas a crédito</t>
        </is>
      </c>
      <c r="C5" t="inlineStr">
        <is>
          <t>Ingresos</t>
        </is>
      </c>
      <c r="D5" t="inlineStr">
        <is>
          <t>✓</t>
        </is>
      </c>
      <c r="F5" t="inlineStr">
        <is>
          <t>✓</t>
        </is>
      </c>
      <c r="G5" t="inlineStr">
        <is>
          <t>1.4 — Ventas a crédito</t>
        </is>
      </c>
    </row>
    <row r="6">
      <c r="A6" t="inlineStr">
        <is>
          <t>1.5</t>
        </is>
      </c>
      <c r="B6" t="inlineStr">
        <is>
          <t>Cobro de créditos anteriores</t>
        </is>
      </c>
      <c r="C6" t="inlineStr">
        <is>
          <t>Ingresos</t>
        </is>
      </c>
      <c r="E6" t="inlineStr">
        <is>
          <t>✓</t>
        </is>
      </c>
      <c r="F6" t="inlineStr">
        <is>
          <t>✓</t>
        </is>
      </c>
      <c r="G6" t="inlineStr">
        <is>
          <t>1.5 — Cobro de créditos anteriores</t>
        </is>
      </c>
    </row>
    <row r="7">
      <c r="A7" t="inlineStr">
        <is>
          <t>1.6</t>
        </is>
      </c>
      <c r="B7" t="inlineStr">
        <is>
          <t>Descuentos sobre ventas</t>
        </is>
      </c>
      <c r="C7" t="inlineStr">
        <is>
          <t>Ingresos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>
        <is>
          <t>1.6 — Descuentos sobre ventas</t>
        </is>
      </c>
    </row>
    <row r="8">
      <c r="A8" t="inlineStr">
        <is>
          <t>1.7</t>
        </is>
      </c>
      <c r="B8" t="inlineStr">
        <is>
          <t>Devoluciones / Notas de crédito</t>
        </is>
      </c>
      <c r="C8" t="inlineStr">
        <is>
          <t>Ingresos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>
        <is>
          <t>1.7 — Devoluciones / Notas de crédito</t>
        </is>
      </c>
    </row>
    <row r="9">
      <c r="A9" t="inlineStr">
        <is>
          <t>1.8</t>
        </is>
      </c>
      <c r="B9" t="inlineStr">
        <is>
          <t>Ingresos (Neto) Ops IVA</t>
        </is>
      </c>
      <c r="C9" t="inlineStr">
        <is>
          <t>Ingresos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>
        <is>
          <t>1.8 — Ingresos (Neto) Ops IVA</t>
        </is>
      </c>
    </row>
    <row r="10">
      <c r="A10" t="inlineStr">
        <is>
          <t>2.1</t>
        </is>
      </c>
      <c r="B10" t="inlineStr">
        <is>
          <t>Compras de mercancía</t>
        </is>
      </c>
      <c r="C10" t="inlineStr">
        <is>
          <t>COGS</t>
        </is>
      </c>
      <c r="E10" t="inlineStr">
        <is>
          <t>✓</t>
        </is>
      </c>
      <c r="F10" t="inlineStr">
        <is>
          <t>✓</t>
        </is>
      </c>
      <c r="G10" t="inlineStr">
        <is>
          <t>2.1 — Compras de mercancía</t>
        </is>
      </c>
    </row>
    <row r="11">
      <c r="A11" t="inlineStr">
        <is>
          <t>2.2</t>
        </is>
      </c>
      <c r="B11" t="inlineStr">
        <is>
          <t>Ajuste COGS por inventario</t>
        </is>
      </c>
      <c r="C11" t="inlineStr">
        <is>
          <t>COGS</t>
        </is>
      </c>
      <c r="D11" t="inlineStr">
        <is>
          <t>✓</t>
        </is>
      </c>
      <c r="F11" t="inlineStr">
        <is>
          <t>✓</t>
        </is>
      </c>
      <c r="G11" t="inlineStr">
        <is>
          <t>2.2 — Ajuste COGS por inventario</t>
        </is>
      </c>
    </row>
    <row r="12">
      <c r="A12" t="inlineStr">
        <is>
          <t>3.1</t>
        </is>
      </c>
      <c r="B12" t="inlineStr">
        <is>
          <t>Sueldos</t>
        </is>
      </c>
      <c r="C12" t="inlineStr">
        <is>
          <t>Costos Fijos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3.1 — Sueldos</t>
        </is>
      </c>
    </row>
    <row r="13">
      <c r="A13" t="inlineStr">
        <is>
          <t>3.2</t>
        </is>
      </c>
      <c r="B13" t="inlineStr">
        <is>
          <t>Pasivos laborales</t>
        </is>
      </c>
      <c r="C13" t="inlineStr">
        <is>
          <t>Costos Fijos</t>
        </is>
      </c>
      <c r="D13" t="inlineStr">
        <is>
          <t>✓</t>
        </is>
      </c>
      <c r="E13" t="inlineStr">
        <is>
          <t>✓</t>
        </is>
      </c>
      <c r="F13" t="inlineStr">
        <is>
          <t>✓</t>
        </is>
      </c>
      <c r="G13" t="inlineStr">
        <is>
          <t>3.2 — Pasivos laborales</t>
        </is>
      </c>
    </row>
    <row r="14">
      <c r="A14" t="inlineStr">
        <is>
          <t>3.3</t>
        </is>
      </c>
      <c r="B14" t="inlineStr">
        <is>
          <t>Salarios Administrativos</t>
        </is>
      </c>
      <c r="C14" t="inlineStr">
        <is>
          <t>Costos Fijos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inlineStr">
        <is>
          <t>3.3 — Salarios Administrativos</t>
        </is>
      </c>
    </row>
    <row r="15">
      <c r="A15" t="inlineStr">
        <is>
          <t>3.4</t>
        </is>
      </c>
      <c r="B15" t="inlineStr">
        <is>
          <t>Pasivos laborales Administrativos</t>
        </is>
      </c>
      <c r="C15" t="inlineStr">
        <is>
          <t>Costos Fijos</t>
        </is>
      </c>
      <c r="D15" t="inlineStr">
        <is>
          <t>✓</t>
        </is>
      </c>
      <c r="F15" t="inlineStr">
        <is>
          <t>✓</t>
        </is>
      </c>
      <c r="G15" t="inlineStr">
        <is>
          <t>3.4 — Pasivos laborales Administrativos</t>
        </is>
      </c>
    </row>
    <row r="16">
      <c r="A16" t="inlineStr">
        <is>
          <t>3.5</t>
        </is>
      </c>
      <c r="B16" t="inlineStr">
        <is>
          <t>Transporte de Personal</t>
        </is>
      </c>
      <c r="C16" t="inlineStr">
        <is>
          <t>Costos Fijos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3.5 — Transporte de Personal</t>
        </is>
      </c>
    </row>
    <row r="17">
      <c r="A17" t="inlineStr">
        <is>
          <t>3.6</t>
        </is>
      </c>
      <c r="B17" t="inlineStr">
        <is>
          <t>Sueldo Mónica</t>
        </is>
      </c>
      <c r="C17" t="inlineStr">
        <is>
          <t>Costos Fijos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3.6 — Sueldo Mónica</t>
        </is>
      </c>
    </row>
    <row r="18">
      <c r="A18" t="inlineStr">
        <is>
          <t>3.7</t>
        </is>
      </c>
      <c r="B18" t="inlineStr">
        <is>
          <t>Honorarios Contabilidad</t>
        </is>
      </c>
      <c r="C18" t="inlineStr">
        <is>
          <t>Costos Fijos</t>
        </is>
      </c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3.7 — Honorarios Contabilidad</t>
        </is>
      </c>
    </row>
    <row r="19">
      <c r="A19" t="inlineStr">
        <is>
          <t>3.8</t>
        </is>
      </c>
      <c r="B19" t="inlineStr">
        <is>
          <t>Abogados</t>
        </is>
      </c>
      <c r="C19" t="inlineStr">
        <is>
          <t>Costos Fijos</t>
        </is>
      </c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inlineStr">
        <is>
          <t>3.8 — Abogados</t>
        </is>
      </c>
    </row>
    <row r="20">
      <c r="A20" t="inlineStr">
        <is>
          <t>3.9</t>
        </is>
      </c>
      <c r="B20" t="inlineStr">
        <is>
          <t>Seguro</t>
        </is>
      </c>
      <c r="C20" t="inlineStr">
        <is>
          <t>Costos Fijos</t>
        </is>
      </c>
      <c r="D20" t="inlineStr">
        <is>
          <t>✓</t>
        </is>
      </c>
      <c r="E20" t="inlineStr">
        <is>
          <t>✓</t>
        </is>
      </c>
      <c r="F20" t="inlineStr">
        <is>
          <t>✓</t>
        </is>
      </c>
      <c r="G20" t="inlineStr">
        <is>
          <t>3.9 — Seguro</t>
        </is>
      </c>
    </row>
    <row r="21">
      <c r="A21" t="inlineStr">
        <is>
          <t>3.10</t>
        </is>
      </c>
      <c r="B21" t="inlineStr">
        <is>
          <t>Permisos</t>
        </is>
      </c>
      <c r="C21" t="inlineStr">
        <is>
          <t>Costos Fijos</t>
        </is>
      </c>
      <c r="D21" t="inlineStr">
        <is>
          <t>✓</t>
        </is>
      </c>
      <c r="E21" t="inlineStr">
        <is>
          <t>✓</t>
        </is>
      </c>
      <c r="F21" t="inlineStr">
        <is>
          <t>✓</t>
        </is>
      </c>
      <c r="G21" t="inlineStr">
        <is>
          <t>3.10 — Permisos</t>
        </is>
      </c>
    </row>
    <row r="22">
      <c r="A22" t="inlineStr">
        <is>
          <t>3.11</t>
        </is>
      </c>
      <c r="B22" t="inlineStr">
        <is>
          <t>Servicio Valet Parking</t>
        </is>
      </c>
      <c r="C22" t="inlineStr">
        <is>
          <t>Costos Fijos</t>
        </is>
      </c>
      <c r="D22" t="inlineStr">
        <is>
          <t>✓</t>
        </is>
      </c>
      <c r="E22" t="inlineStr">
        <is>
          <t>✓</t>
        </is>
      </c>
      <c r="F22" t="inlineStr">
        <is>
          <t>✓</t>
        </is>
      </c>
      <c r="G22" t="inlineStr">
        <is>
          <t>3.11 — Servicio Valet Parking</t>
        </is>
      </c>
    </row>
    <row r="23">
      <c r="A23" t="inlineStr">
        <is>
          <t>3.12</t>
        </is>
      </c>
      <c r="B23" t="inlineStr">
        <is>
          <t>Mercadeo</t>
        </is>
      </c>
      <c r="C23" t="inlineStr">
        <is>
          <t>Costos Fijos</t>
        </is>
      </c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3.12 — Mercadeo</t>
        </is>
      </c>
    </row>
    <row r="24">
      <c r="A24" t="inlineStr">
        <is>
          <t>3.13</t>
        </is>
      </c>
      <c r="B24" t="inlineStr">
        <is>
          <t>Aseo</t>
        </is>
      </c>
      <c r="C24" t="inlineStr">
        <is>
          <t>Costos Fijos</t>
        </is>
      </c>
      <c r="D24" t="inlineStr">
        <is>
          <t>✓</t>
        </is>
      </c>
      <c r="E24" t="inlineStr">
        <is>
          <t>✓</t>
        </is>
      </c>
      <c r="F24" t="inlineStr">
        <is>
          <t>✓</t>
        </is>
      </c>
      <c r="G24" t="inlineStr">
        <is>
          <t>3.13 — Aseo</t>
        </is>
      </c>
    </row>
    <row r="25">
      <c r="A25" t="inlineStr">
        <is>
          <t>3.14</t>
        </is>
      </c>
      <c r="B25" t="inlineStr">
        <is>
          <t>Agua</t>
        </is>
      </c>
      <c r="C25" t="inlineStr">
        <is>
          <t>Costos Fijos</t>
        </is>
      </c>
      <c r="D25" t="inlineStr">
        <is>
          <t>✓</t>
        </is>
      </c>
      <c r="E25" t="inlineStr">
        <is>
          <t>✓</t>
        </is>
      </c>
      <c r="F25" t="inlineStr">
        <is>
          <t>✓</t>
        </is>
      </c>
      <c r="G25" t="inlineStr">
        <is>
          <t>3.14 — Agua</t>
        </is>
      </c>
    </row>
    <row r="26">
      <c r="A26" t="inlineStr">
        <is>
          <t>3.15</t>
        </is>
      </c>
      <c r="B26" t="inlineStr">
        <is>
          <t>Internet</t>
        </is>
      </c>
      <c r="C26" t="inlineStr">
        <is>
          <t>Costos Fijos</t>
        </is>
      </c>
      <c r="D26" t="inlineStr">
        <is>
          <t>✓</t>
        </is>
      </c>
      <c r="E26" t="inlineStr">
        <is>
          <t>✓</t>
        </is>
      </c>
      <c r="F26" t="inlineStr">
        <is>
          <t>✓</t>
        </is>
      </c>
      <c r="G26" t="inlineStr">
        <is>
          <t>3.15 — Internet</t>
        </is>
      </c>
    </row>
    <row r="27">
      <c r="A27" t="inlineStr">
        <is>
          <t>3.16</t>
        </is>
      </c>
      <c r="B27" t="inlineStr">
        <is>
          <t>Teléfono</t>
        </is>
      </c>
      <c r="C27" t="inlineStr">
        <is>
          <t>Costos Fijos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3.16 — Teléfono</t>
        </is>
      </c>
    </row>
    <row r="28">
      <c r="A28" t="inlineStr">
        <is>
          <t>3.17</t>
        </is>
      </c>
      <c r="B28" t="inlineStr">
        <is>
          <t>Software</t>
        </is>
      </c>
      <c r="C28" t="inlineStr">
        <is>
          <t>Costos Fijos</t>
        </is>
      </c>
      <c r="D28" t="inlineStr">
        <is>
          <t>✓</t>
        </is>
      </c>
      <c r="E28" t="inlineStr">
        <is>
          <t>✓</t>
        </is>
      </c>
      <c r="F28" t="inlineStr">
        <is>
          <t>✓</t>
        </is>
      </c>
      <c r="G28" t="inlineStr">
        <is>
          <t>3.17 — Software</t>
        </is>
      </c>
    </row>
    <row r="29">
      <c r="A29" t="inlineStr">
        <is>
          <t>3.18</t>
        </is>
      </c>
      <c r="B29" t="inlineStr">
        <is>
          <t>Electricidad</t>
        </is>
      </c>
      <c r="C29" t="inlineStr">
        <is>
          <t>Costos Fijos</t>
        </is>
      </c>
      <c r="D29" t="inlineStr">
        <is>
          <t>✓</t>
        </is>
      </c>
      <c r="E29" t="inlineStr">
        <is>
          <t>✓</t>
        </is>
      </c>
      <c r="F29" t="inlineStr">
        <is>
          <t>✓</t>
        </is>
      </c>
      <c r="G29" t="inlineStr">
        <is>
          <t>3.18 — Electricidad</t>
        </is>
      </c>
    </row>
    <row r="30">
      <c r="A30" t="inlineStr">
        <is>
          <t>3.19</t>
        </is>
      </c>
      <c r="B30" t="inlineStr">
        <is>
          <t>DirecTV</t>
        </is>
      </c>
      <c r="C30" t="inlineStr">
        <is>
          <t>Costos Fijos</t>
        </is>
      </c>
      <c r="D30" t="inlineStr">
        <is>
          <t>✓</t>
        </is>
      </c>
      <c r="E30" t="inlineStr">
        <is>
          <t>✓</t>
        </is>
      </c>
      <c r="F30" t="inlineStr">
        <is>
          <t>✓</t>
        </is>
      </c>
      <c r="G30" t="inlineStr">
        <is>
          <t>3.19 — DirecTV</t>
        </is>
      </c>
    </row>
    <row r="31">
      <c r="A31" t="inlineStr">
        <is>
          <t>3.20</t>
        </is>
      </c>
      <c r="B31" t="inlineStr">
        <is>
          <t>Fumigación</t>
        </is>
      </c>
      <c r="C31" t="inlineStr">
        <is>
          <t>Costos Fijos</t>
        </is>
      </c>
      <c r="D31" t="inlineStr">
        <is>
          <t>✓</t>
        </is>
      </c>
      <c r="E31" t="inlineStr">
        <is>
          <t>✓</t>
        </is>
      </c>
      <c r="F31" t="inlineStr">
        <is>
          <t>✓</t>
        </is>
      </c>
      <c r="G31" t="inlineStr">
        <is>
          <t>3.20 — Fumigación</t>
        </is>
      </c>
    </row>
    <row r="32">
      <c r="A32" t="inlineStr">
        <is>
          <t>4.1</t>
        </is>
      </c>
      <c r="B32" t="inlineStr">
        <is>
          <t>Gastos oficina</t>
        </is>
      </c>
      <c r="C32" t="inlineStr">
        <is>
          <t>Costos Variables</t>
        </is>
      </c>
      <c r="D32" t="inlineStr">
        <is>
          <t>✓</t>
        </is>
      </c>
      <c r="E32" t="inlineStr">
        <is>
          <t>✓</t>
        </is>
      </c>
      <c r="F32" t="inlineStr">
        <is>
          <t>✓</t>
        </is>
      </c>
      <c r="G32" t="inlineStr">
        <is>
          <t>4.1 — Gastos oficina</t>
        </is>
      </c>
    </row>
    <row r="33">
      <c r="A33" t="inlineStr">
        <is>
          <t>4.2</t>
        </is>
      </c>
      <c r="B33" t="inlineStr">
        <is>
          <t>Otros imprevistos</t>
        </is>
      </c>
      <c r="C33" t="inlineStr">
        <is>
          <t>Costos Variables</t>
        </is>
      </c>
      <c r="D33" t="inlineStr">
        <is>
          <t>✓</t>
        </is>
      </c>
      <c r="E33" t="inlineStr">
        <is>
          <t>✓</t>
        </is>
      </c>
      <c r="F33" t="inlineStr">
        <is>
          <t>✓</t>
        </is>
      </c>
      <c r="G33" t="inlineStr">
        <is>
          <t>4.2 — Otros imprevistos</t>
        </is>
      </c>
    </row>
    <row r="34">
      <c r="A34" t="inlineStr">
        <is>
          <t>4.3</t>
        </is>
      </c>
      <c r="B34" t="inlineStr">
        <is>
          <t>Alquiler</t>
        </is>
      </c>
      <c r="C34" t="inlineStr">
        <is>
          <t>Costos Variables</t>
        </is>
      </c>
      <c r="D34" t="inlineStr">
        <is>
          <t>✓</t>
        </is>
      </c>
      <c r="E34" t="inlineStr">
        <is>
          <t>✓</t>
        </is>
      </c>
      <c r="F34" t="inlineStr">
        <is>
          <t>✓</t>
        </is>
      </c>
      <c r="G34" t="inlineStr">
        <is>
          <t>4.3 — Alquiler</t>
        </is>
      </c>
    </row>
    <row r="35">
      <c r="A35" t="inlineStr">
        <is>
          <t>4.4</t>
        </is>
      </c>
      <c r="B35" t="inlineStr">
        <is>
          <t>Condominio</t>
        </is>
      </c>
      <c r="C35" t="inlineStr">
        <is>
          <t>Costos Variables</t>
        </is>
      </c>
      <c r="D35" t="inlineStr">
        <is>
          <t>✓</t>
        </is>
      </c>
      <c r="E35" t="inlineStr">
        <is>
          <t>✓</t>
        </is>
      </c>
      <c r="F35" t="inlineStr">
        <is>
          <t>✓</t>
        </is>
      </c>
      <c r="G35" t="inlineStr">
        <is>
          <t>4.4 — Condominio</t>
        </is>
      </c>
    </row>
    <row r="36">
      <c r="A36" t="inlineStr">
        <is>
          <t>4.5</t>
        </is>
      </c>
      <c r="B36" t="inlineStr">
        <is>
          <t>Suministros Comedor y Limpieza</t>
        </is>
      </c>
      <c r="C36" t="inlineStr">
        <is>
          <t>Costos Variables</t>
        </is>
      </c>
      <c r="D36" t="inlineStr">
        <is>
          <t>✓</t>
        </is>
      </c>
      <c r="E36" t="inlineStr">
        <is>
          <t>✓</t>
        </is>
      </c>
      <c r="F36" t="inlineStr">
        <is>
          <t>✓</t>
        </is>
      </c>
      <c r="G36" t="inlineStr">
        <is>
          <t>4.5 — Suministros Comedor y Limpieza</t>
        </is>
      </c>
    </row>
    <row r="37">
      <c r="A37" t="inlineStr">
        <is>
          <t>4.6</t>
        </is>
      </c>
      <c r="B37" t="inlineStr">
        <is>
          <t>Otros Insumos generales y compartidos</t>
        </is>
      </c>
      <c r="C37" t="inlineStr">
        <is>
          <t>Costos Variables</t>
        </is>
      </c>
      <c r="D37" t="inlineStr">
        <is>
          <t>✓</t>
        </is>
      </c>
      <c r="E37" t="inlineStr">
        <is>
          <t>✓</t>
        </is>
      </c>
      <c r="F37" t="inlineStr">
        <is>
          <t>✓</t>
        </is>
      </c>
      <c r="G37" t="inlineStr">
        <is>
          <t>4.6 — Otros Insumos generales y compartidos</t>
        </is>
      </c>
    </row>
    <row r="38">
      <c r="A38" t="inlineStr">
        <is>
          <t>4.7</t>
        </is>
      </c>
      <c r="B38" t="inlineStr">
        <is>
          <t>Deliveries Insumos</t>
        </is>
      </c>
      <c r="C38" t="inlineStr">
        <is>
          <t>Costos Variables</t>
        </is>
      </c>
      <c r="D38" t="inlineStr">
        <is>
          <t>✓</t>
        </is>
      </c>
      <c r="E38" t="inlineStr">
        <is>
          <t>✓</t>
        </is>
      </c>
      <c r="F38" t="inlineStr">
        <is>
          <t>✓</t>
        </is>
      </c>
      <c r="G38" t="inlineStr">
        <is>
          <t>4.7 — Deliveries Insumos</t>
        </is>
      </c>
    </row>
    <row r="39">
      <c r="A39" t="inlineStr">
        <is>
          <t>4.8</t>
        </is>
      </c>
      <c r="B39" t="inlineStr">
        <is>
          <t>Gastos financieros bancarios</t>
        </is>
      </c>
      <c r="C39" t="inlineStr">
        <is>
          <t>Costos Variables</t>
        </is>
      </c>
      <c r="D39" t="inlineStr">
        <is>
          <t>✓</t>
        </is>
      </c>
      <c r="E39" t="inlineStr">
        <is>
          <t>✓</t>
        </is>
      </c>
      <c r="F39" t="inlineStr">
        <is>
          <t>✓</t>
        </is>
      </c>
      <c r="G39" t="inlineStr">
        <is>
          <t>4.8 — Gastos financieros bancarios</t>
        </is>
      </c>
    </row>
    <row r="40">
      <c r="A40" t="inlineStr">
        <is>
          <t>4.9</t>
        </is>
      </c>
      <c r="B40" t="inlineStr">
        <is>
          <t>Gastos de Pruebas</t>
        </is>
      </c>
      <c r="C40" t="inlineStr">
        <is>
          <t>Costos Variables</t>
        </is>
      </c>
      <c r="D40" t="inlineStr">
        <is>
          <t>✓</t>
        </is>
      </c>
      <c r="E40" t="inlineStr">
        <is>
          <t>✓</t>
        </is>
      </c>
      <c r="F40" t="inlineStr">
        <is>
          <t>✓</t>
        </is>
      </c>
      <c r="G40" t="inlineStr">
        <is>
          <t>4.9 — Gastos de Pruebas</t>
        </is>
      </c>
    </row>
    <row r="41">
      <c r="A41" t="inlineStr">
        <is>
          <t>4.10</t>
        </is>
      </c>
      <c r="B41" t="inlineStr">
        <is>
          <t>Mantenimiento</t>
        </is>
      </c>
      <c r="C41" t="inlineStr">
        <is>
          <t>Costos Variables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4.10 — Mantenimiento</t>
        </is>
      </c>
    </row>
    <row r="42">
      <c r="A42" t="inlineStr">
        <is>
          <t>4.11</t>
        </is>
      </c>
      <c r="B42" t="inlineStr">
        <is>
          <t>IMAE (tasa alcaldía 5%)</t>
        </is>
      </c>
      <c r="C42" t="inlineStr">
        <is>
          <t>Costos Variables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4.11 — IMAE (tasa alcaldía 5%)</t>
        </is>
      </c>
    </row>
    <row r="43">
      <c r="A43" t="inlineStr">
        <is>
          <t>5.1</t>
        </is>
      </c>
      <c r="B43" t="inlineStr">
        <is>
          <t>Préstamo recibido</t>
        </is>
      </c>
      <c r="C43" t="inlineStr">
        <is>
          <t>Financiamiento</t>
        </is>
      </c>
      <c r="E43" t="inlineStr">
        <is>
          <t>✓</t>
        </is>
      </c>
      <c r="F43" t="inlineStr">
        <is>
          <t>✓</t>
        </is>
      </c>
      <c r="G43" t="inlineStr">
        <is>
          <t>5.1 — Préstamo recibido</t>
        </is>
      </c>
    </row>
    <row r="44">
      <c r="A44" t="inlineStr">
        <is>
          <t>5.2</t>
        </is>
      </c>
      <c r="B44" t="inlineStr">
        <is>
          <t>Pago capital préstamo</t>
        </is>
      </c>
      <c r="C44" t="inlineStr">
        <is>
          <t>Financiamiento</t>
        </is>
      </c>
      <c r="E44" t="inlineStr">
        <is>
          <t>✓</t>
        </is>
      </c>
      <c r="F44" t="inlineStr">
        <is>
          <t>✓</t>
        </is>
      </c>
      <c r="G44" t="inlineStr">
        <is>
          <t>5.2 — Pago capital préstamo</t>
        </is>
      </c>
    </row>
    <row r="45">
      <c r="A45" t="inlineStr">
        <is>
          <t>5.3</t>
        </is>
      </c>
      <c r="B45" t="inlineStr">
        <is>
          <t>Intereses sobre préstamos</t>
        </is>
      </c>
      <c r="C45" t="inlineStr">
        <is>
          <t>Financiamiento</t>
        </is>
      </c>
      <c r="D45" t="inlineStr">
        <is>
          <t>✓</t>
        </is>
      </c>
      <c r="F45" t="inlineStr">
        <is>
          <t>✓</t>
        </is>
      </c>
      <c r="G45" t="inlineStr">
        <is>
          <t>5.3 — Intereses sobre préstamos</t>
        </is>
      </c>
    </row>
    <row r="46">
      <c r="A46" t="inlineStr">
        <is>
          <t>5.4</t>
        </is>
      </c>
      <c r="B46" t="inlineStr">
        <is>
          <t>Pago de dividendos</t>
        </is>
      </c>
      <c r="C46" t="inlineStr">
        <is>
          <t>Financiamiento</t>
        </is>
      </c>
      <c r="E46" t="inlineStr">
        <is>
          <t>✓</t>
        </is>
      </c>
      <c r="F46" t="inlineStr">
        <is>
          <t>✓</t>
        </is>
      </c>
      <c r="G46" t="inlineStr">
        <is>
          <t>5.4 — Pago de dividendos</t>
        </is>
      </c>
    </row>
    <row r="47">
      <c r="A47" t="inlineStr">
        <is>
          <t>5.5</t>
        </is>
      </c>
      <c r="B47" t="inlineStr">
        <is>
          <t>Aumento capital social</t>
        </is>
      </c>
      <c r="C47" t="inlineStr">
        <is>
          <t>Financiamiento</t>
        </is>
      </c>
      <c r="E47" t="inlineStr">
        <is>
          <t>✓</t>
        </is>
      </c>
      <c r="F47" t="inlineStr">
        <is>
          <t>✓</t>
        </is>
      </c>
      <c r="G47" t="inlineStr">
        <is>
          <t>5.5 — Aumento capital social</t>
        </is>
      </c>
    </row>
    <row r="48">
      <c r="A48" t="inlineStr">
        <is>
          <t>5.6</t>
        </is>
      </c>
      <c r="B48" t="inlineStr">
        <is>
          <t>Compra activo fijo (CapEx)</t>
        </is>
      </c>
      <c r="C48" t="inlineStr">
        <is>
          <t>Financiamiento</t>
        </is>
      </c>
      <c r="E48" t="inlineStr">
        <is>
          <t>✓</t>
        </is>
      </c>
      <c r="F48" t="inlineStr">
        <is>
          <t>✓</t>
        </is>
      </c>
      <c r="G48" t="inlineStr">
        <is>
          <t>5.6 — Compra activo fijo (CapEx)</t>
        </is>
      </c>
    </row>
    <row r="49">
      <c r="A49" t="inlineStr">
        <is>
          <t>5.7</t>
        </is>
      </c>
      <c r="B49" t="inlineStr">
        <is>
          <t>Depreciación</t>
        </is>
      </c>
      <c r="C49" t="inlineStr">
        <is>
          <t>Financiamiento</t>
        </is>
      </c>
      <c r="D49" t="inlineStr">
        <is>
          <t>✓</t>
        </is>
      </c>
      <c r="F49" t="inlineStr">
        <is>
          <t>✓</t>
        </is>
      </c>
      <c r="G49" t="inlineStr">
        <is>
          <t>5.7 — Depreciación</t>
        </is>
      </c>
    </row>
    <row r="50">
      <c r="A50" t="inlineStr">
        <is>
          <t>6.1</t>
        </is>
      </c>
      <c r="B50" t="inlineStr">
        <is>
          <t>Ganancia cambiaria por cobros</t>
        </is>
      </c>
      <c r="C50" t="inlineStr">
        <is>
          <t>Otros</t>
        </is>
      </c>
      <c r="D50" t="inlineStr">
        <is>
          <t>✓</t>
        </is>
      </c>
      <c r="F50" t="inlineStr">
        <is>
          <t>✓</t>
        </is>
      </c>
      <c r="G50" t="inlineStr">
        <is>
          <t>6.1 — Ganancia cambiaria por cobros</t>
        </is>
      </c>
    </row>
    <row r="51">
      <c r="A51" t="inlineStr">
        <is>
          <t>6.2</t>
        </is>
      </c>
      <c r="B51" t="inlineStr">
        <is>
          <t>Pérdida cambiaria por cobros</t>
        </is>
      </c>
      <c r="C51" t="inlineStr">
        <is>
          <t>Otros</t>
        </is>
      </c>
      <c r="D51" t="inlineStr">
        <is>
          <t>✓</t>
        </is>
      </c>
      <c r="F51" t="inlineStr">
        <is>
          <t>✓</t>
        </is>
      </c>
      <c r="G51" t="inlineStr">
        <is>
          <t>6.2 — Pérdida cambiaria por cobros</t>
        </is>
      </c>
    </row>
    <row r="52">
      <c r="A52" t="inlineStr">
        <is>
          <t>98</t>
        </is>
      </c>
      <c r="B52" t="inlineStr">
        <is>
          <t>Operaciones Cambio</t>
        </is>
      </c>
      <c r="C52" t="inlineStr">
        <is>
          <t>Otros</t>
        </is>
      </c>
      <c r="F52" t="inlineStr">
        <is>
          <t>✓</t>
        </is>
      </c>
      <c r="G52" t="inlineStr">
        <is>
          <t>98 — Operaciones Cambio</t>
        </is>
      </c>
    </row>
    <row r="53">
      <c r="A53" t="inlineStr">
        <is>
          <t>99</t>
        </is>
      </c>
      <c r="B53" t="inlineStr">
        <is>
          <t>POR DETERMINAR</t>
        </is>
      </c>
      <c r="C53" t="inlineStr">
        <is>
          <t>Otros</t>
        </is>
      </c>
      <c r="F53" t="inlineStr">
        <is>
          <t>✓</t>
        </is>
      </c>
      <c r="G53" t="inlineStr">
        <is>
          <t>99 — POR DETERMINAR</t>
        </is>
      </c>
    </row>
    <row r="54" customFormat="1" s="14">
      <c r="A54" s="14" t="inlineStr">
        <is>
          <t>7.1</t>
        </is>
      </c>
      <c r="B54" s="14" t="inlineStr">
        <is>
          <t>Tributos (ISLR, IVA al Seniat, etc.)</t>
        </is>
      </c>
      <c r="C54" s="14" t="inlineStr">
        <is>
          <t>Impuestos</t>
        </is>
      </c>
      <c r="E54" s="14" t="inlineStr">
        <is>
          <t>✓</t>
        </is>
      </c>
      <c r="F54" s="14" t="inlineStr">
        <is>
          <t>✓</t>
        </is>
      </c>
      <c r="G54" s="14" t="inlineStr">
        <is>
          <t>7.1 — Tributos (ISLR, IVA al Seniat, etc.)</t>
        </is>
      </c>
    </row>
    <row r="55">
      <c r="A55" t="inlineStr">
        <is>
          <t>7.3</t>
        </is>
      </c>
      <c r="B55" t="inlineStr">
        <is>
          <t>IVA débito fiscal cobrado</t>
        </is>
      </c>
      <c r="C55" t="inlineStr">
        <is>
          <t>Impuestos</t>
        </is>
      </c>
      <c r="E55" t="inlineStr">
        <is>
          <t>✓</t>
        </is>
      </c>
      <c r="F55" t="inlineStr">
        <is>
          <t>✓</t>
        </is>
      </c>
      <c r="G55" t="inlineStr">
        <is>
          <t>7.3 — IVA débito fiscal cobrado</t>
        </is>
      </c>
    </row>
    <row r="56">
      <c r="A56" t="inlineStr">
        <is>
          <t>7.4</t>
        </is>
      </c>
      <c r="B56" t="inlineStr">
        <is>
          <t>IVA crédito fiscal pagado</t>
        </is>
      </c>
      <c r="C56" t="inlineStr">
        <is>
          <t>Impuestos</t>
        </is>
      </c>
      <c r="E56" t="inlineStr">
        <is>
          <t>✓</t>
        </is>
      </c>
      <c r="F56" t="inlineStr">
        <is>
          <t>✓</t>
        </is>
      </c>
      <c r="G56" t="inlineStr">
        <is>
          <t>7.4 — IVA crédito fiscal pagado</t>
        </is>
      </c>
    </row>
    <row r="57">
      <c r="A57" s="14" t="inlineStr">
        <is>
          <t>8.1</t>
        </is>
      </c>
      <c r="B57" s="14" t="inlineStr">
        <is>
          <t>Bono 10% y Propinas por pagar al personal</t>
        </is>
      </c>
      <c r="C57" s="14" t="inlineStr">
        <is>
          <t>Pasivos transitorios</t>
        </is>
      </c>
      <c r="D57" s="14" t="n"/>
      <c r="E57" s="14" t="inlineStr">
        <is>
          <t>✓</t>
        </is>
      </c>
      <c r="F57" s="14" t="inlineStr">
        <is>
          <t>✓</t>
        </is>
      </c>
      <c r="G57" s="14" t="inlineStr">
        <is>
          <t>8.1 — Bono 10% y Propinas por pagar al personal</t>
        </is>
      </c>
    </row>
    <row r="58">
      <c r="A58" t="inlineStr">
        <is>
          <t>8.2</t>
        </is>
      </c>
      <c r="B58" t="inlineStr">
        <is>
          <t>Pago de cuentas por pagar</t>
        </is>
      </c>
      <c r="C58" t="inlineStr">
        <is>
          <t>Pasivos transitorios</t>
        </is>
      </c>
      <c r="E58" t="inlineStr">
        <is>
          <t>✓</t>
        </is>
      </c>
      <c r="F58" t="inlineStr">
        <is>
          <t>✓</t>
        </is>
      </c>
      <c r="G58" t="inlineStr">
        <is>
          <t>8.2 — Pago de cuentas por pagar</t>
        </is>
      </c>
    </row>
    <row r="59">
      <c r="A59" t="inlineStr">
        <is>
          <t>9.1</t>
        </is>
      </c>
      <c r="B59" t="inlineStr">
        <is>
          <t>Préstamos al personal</t>
        </is>
      </c>
      <c r="C59" t="inlineStr">
        <is>
          <t>Activos transitorios</t>
        </is>
      </c>
      <c r="E59" t="inlineStr">
        <is>
          <t>✓</t>
        </is>
      </c>
      <c r="F59" t="inlineStr">
        <is>
          <t>✓</t>
        </is>
      </c>
      <c r="G59" t="inlineStr">
        <is>
          <t>9.1 — Préstamos al personal</t>
        </is>
      </c>
    </row>
    <row r="60">
      <c r="A60" t="inlineStr">
        <is>
          <t>9.2</t>
        </is>
      </c>
      <c r="B60" t="inlineStr">
        <is>
          <t>Anticipos a proveedores</t>
        </is>
      </c>
      <c r="C60" t="inlineStr">
        <is>
          <t>Activos transitorios</t>
        </is>
      </c>
      <c r="E60" t="inlineStr">
        <is>
          <t>✓</t>
        </is>
      </c>
      <c r="F60" t="inlineStr">
        <is>
          <t>✓</t>
        </is>
      </c>
      <c r="G60" t="inlineStr">
        <is>
          <t>9.2 — Anticipos a proveedores</t>
        </is>
      </c>
    </row>
    <row r="61">
      <c r="A61" t="inlineStr">
        <is>
          <t>9.3</t>
        </is>
      </c>
      <c r="B61" t="inlineStr">
        <is>
          <t>Anticipos de nómina</t>
        </is>
      </c>
      <c r="C61" t="inlineStr">
        <is>
          <t>Activos transitorios</t>
        </is>
      </c>
      <c r="E61" t="inlineStr">
        <is>
          <t>✓</t>
        </is>
      </c>
      <c r="F61" t="inlineStr">
        <is>
          <t>✓</t>
        </is>
      </c>
      <c r="G61" t="inlineStr">
        <is>
          <t>9.3 — Anticipos de nómina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2026-08-26T19:16:11Z</dcterms:created>
  <dcterms:modified xmlns:dcterms="http://purl.org/dc/terms/" xmlns:xsi="http://www.w3.org/2001/XMLSchema-instance" xsi:type="dcterms:W3CDTF">2026-09-12T13:02:42Z</dcterms:modified>
  <cp:lastModifiedBy>Irwin J. Perret-Gentil Acedo</cp:lastModifiedBy>
</cp:coreProperties>
</file>